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" sheetId="1" state="visible" r:id="rId1"/>
  </sheets>
  <definedNames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41870.5627662037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_);\(#,##0.0\)"/>
    <numFmt numFmtId="165" formatCode="&quot;$&quot;#,##0_);\(&quot;$&quot;#,##0\)"/>
    <numFmt numFmtId="166" formatCode="_(* #,##0_);_(* \(#,##0\);_(* &quot;-&quot;??_);_(@_)"/>
    <numFmt numFmtId="167" formatCode="&quot;$&quot;#,##0_);[Red]\(&quot;$&quot;#,##0\)"/>
    <numFmt numFmtId="168" formatCode="&quot;$&quot;#,##0.00_);[Red]\(&quot;$&quot;#,##0.00\)"/>
    <numFmt numFmtId="169" formatCode="&quot;$&quot;#,##0"/>
    <numFmt numFmtId="170" formatCode="&quot;$&quot;#,##0.00_);\(&quot;$&quot;#,##0.00\)"/>
    <numFmt numFmtId="171" formatCode="&quot;$&quot;#,##0.0_);[Red]\(&quot;$&quot;#,##0.0\)"/>
    <numFmt numFmtId="172" formatCode="0%_);\(0%\)"/>
  </numFmts>
  <fonts count="2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6"/>
    </font>
    <font>
      <name val="Calibri"/>
      <i val="1"/>
      <color theme="1"/>
      <sz val="14"/>
    </font>
    <font>
      <name val="Calibri"/>
      <b val="1"/>
      <color theme="1"/>
      <sz val="11"/>
    </font>
    <font/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b val="1"/>
      <color theme="1"/>
      <sz val="11"/>
      <u val="single"/>
    </font>
    <font>
      <name val="Calibri"/>
      <color theme="0"/>
      <sz val="11"/>
    </font>
    <font>
      <name val="Calibri"/>
      <i val="1"/>
      <color theme="1"/>
      <sz val="11"/>
    </font>
    <font>
      <name val="Calibri"/>
      <i val="1"/>
      <color theme="0"/>
      <sz val="11"/>
    </font>
    <font>
      <name val="Calibri"/>
      <color rgb="FFFF0000"/>
      <sz val="11"/>
    </font>
    <font>
      <name val="Calibri"/>
      <b val="1"/>
      <color theme="1"/>
      <sz val="11"/>
      <u val="single"/>
    </font>
    <font>
      <name val="Calibri"/>
      <color rgb="FF008000"/>
      <sz val="11"/>
    </font>
    <font>
      <name val="Calibri"/>
      <b val="1"/>
      <i val="1"/>
      <color theme="1"/>
      <sz val="11"/>
    </font>
    <font>
      <name val="Calibri"/>
      <b val="1"/>
      <color theme="1"/>
      <sz val="11"/>
      <u val="single"/>
    </font>
    <font>
      <name val="Calibri"/>
      <color theme="1"/>
      <scheme val="minor"/>
    </font>
    <font>
      <name val="Calibri"/>
      <color rgb="FF0000FF"/>
      <sz val="11"/>
    </font>
  </fonts>
  <fills count="11">
    <fill>
      <patternFill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99"/>
        <bgColor rgb="FFFFFF99"/>
      </patternFill>
    </fill>
  </fills>
  <borders count="34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37" fontId="1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7" fontId="1" fillId="0" borderId="0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5" fillId="0" borderId="5" pivotButton="0" quotePrefix="0" xfId="0"/>
    <xf numFmtId="0" fontId="1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6" fillId="0" borderId="0" applyAlignment="1" pivotButton="0" quotePrefix="1" xfId="0">
      <alignment horizontal="center" vertical="center"/>
    </xf>
    <xf numFmtId="0" fontId="7" fillId="0" borderId="7" applyAlignment="1" pivotButton="0" quotePrefix="1" xfId="0">
      <alignment horizontal="center" vertical="center"/>
    </xf>
    <xf numFmtId="37" fontId="8" fillId="0" borderId="7" applyAlignment="1" pivotButton="0" quotePrefix="1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37" fontId="13" fillId="0" borderId="7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37" fontId="1" fillId="0" borderId="0" applyAlignment="1" pivotButton="0" quotePrefix="0" xfId="0">
      <alignment horizontal="right" vertical="center"/>
    </xf>
    <xf numFmtId="37" fontId="1" fillId="0" borderId="6" applyAlignment="1" pivotButton="0" quotePrefix="0" xfId="0">
      <alignment vertical="center"/>
    </xf>
    <xf numFmtId="37" fontId="4" fillId="0" borderId="0" applyAlignment="1" pivotButton="0" quotePrefix="0" xfId="0">
      <alignment vertical="center"/>
    </xf>
    <xf numFmtId="37" fontId="1" fillId="0" borderId="9" applyAlignment="1" pivotButton="0" quotePrefix="0" xfId="0">
      <alignment vertical="center"/>
    </xf>
    <xf numFmtId="164" fontId="4" fillId="0" borderId="11" applyAlignment="1" pivotButton="0" quotePrefix="0" xfId="0">
      <alignment vertical="center"/>
    </xf>
    <xf numFmtId="37" fontId="1" fillId="2" borderId="12" applyAlignment="1" pivotButton="0" quotePrefix="0" xfId="0">
      <alignment horizontal="right" vertical="center"/>
    </xf>
    <xf numFmtId="37" fontId="1" fillId="3" borderId="12" applyAlignment="1" pivotButton="0" quotePrefix="0" xfId="0">
      <alignment horizontal="right" vertical="center"/>
    </xf>
    <xf numFmtId="0" fontId="4" fillId="4" borderId="13" applyAlignment="1" pivotButton="0" quotePrefix="0" xfId="0">
      <alignment vertical="center"/>
    </xf>
    <xf numFmtId="37" fontId="4" fillId="4" borderId="14" applyAlignment="1" pivotButton="0" quotePrefix="0" xfId="0">
      <alignment vertical="center"/>
    </xf>
    <xf numFmtId="37" fontId="4" fillId="4" borderId="13" applyAlignment="1" pivotButton="0" quotePrefix="0" xfId="0">
      <alignment vertical="center"/>
    </xf>
    <xf numFmtId="37" fontId="4" fillId="4" borderId="15" applyAlignment="1" pivotButton="0" quotePrefix="0" xfId="0">
      <alignment vertical="center"/>
    </xf>
    <xf numFmtId="164" fontId="4" fillId="4" borderId="15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right" vertical="center"/>
    </xf>
    <xf numFmtId="165" fontId="4" fillId="0" borderId="6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4" fontId="4" fillId="0" borderId="11" applyAlignment="1" pivotButton="0" quotePrefix="0" xfId="0">
      <alignment horizontal="right" vertical="center"/>
    </xf>
    <xf numFmtId="165" fontId="4" fillId="4" borderId="14" applyAlignment="1" pivotButton="0" quotePrefix="0" xfId="0">
      <alignment vertical="center"/>
    </xf>
    <xf numFmtId="166" fontId="4" fillId="4" borderId="14" applyAlignment="1" pivotButton="0" quotePrefix="0" xfId="0">
      <alignment vertical="center"/>
    </xf>
    <xf numFmtId="165" fontId="4" fillId="4" borderId="13" applyAlignment="1" pivotButton="0" quotePrefix="0" xfId="0">
      <alignment vertical="center"/>
    </xf>
    <xf numFmtId="37" fontId="4" fillId="0" borderId="0" applyAlignment="1" pivotButton="0" quotePrefix="0" xfId="0">
      <alignment horizontal="right" vertical="center"/>
    </xf>
    <xf numFmtId="37" fontId="1" fillId="5" borderId="12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4" fontId="1" fillId="6" borderId="12" applyAlignment="1" pivotButton="0" quotePrefix="0" xfId="0">
      <alignment horizontal="right" vertical="center"/>
    </xf>
    <xf numFmtId="37" fontId="1" fillId="0" borderId="9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4" fontId="1" fillId="0" borderId="9" applyAlignment="1" pivotButton="0" quotePrefix="0" xfId="0">
      <alignment horizontal="right" vertical="center"/>
    </xf>
    <xf numFmtId="37" fontId="1" fillId="0" borderId="0" applyAlignment="1" pivotButton="0" quotePrefix="1" xfId="0">
      <alignment horizontal="right" vertical="center"/>
    </xf>
    <xf numFmtId="37" fontId="1" fillId="6" borderId="12" applyAlignment="1" pivotButton="0" quotePrefix="0" xfId="0">
      <alignment horizontal="right" vertical="center"/>
    </xf>
    <xf numFmtId="164" fontId="1" fillId="0" borderId="9" applyAlignment="1" pivotButton="0" quotePrefix="0" xfId="0">
      <alignment vertical="center"/>
    </xf>
    <xf numFmtId="164" fontId="1" fillId="0" borderId="16" applyAlignment="1" pivotButton="0" quotePrefix="0" xfId="0">
      <alignment vertical="center"/>
    </xf>
    <xf numFmtId="164" fontId="1" fillId="0" borderId="17" applyAlignment="1" pivotButton="0" quotePrefix="0" xfId="0">
      <alignment vertical="center"/>
    </xf>
    <xf numFmtId="164" fontId="4" fillId="0" borderId="18" applyAlignment="1" pivotButton="0" quotePrefix="0" xfId="0">
      <alignment vertical="center"/>
    </xf>
    <xf numFmtId="37" fontId="1" fillId="0" borderId="16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4" fontId="1" fillId="7" borderId="12" applyAlignment="1" pivotButton="0" quotePrefix="0" xfId="0">
      <alignment vertical="center"/>
    </xf>
    <xf numFmtId="3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9" fontId="16" fillId="0" borderId="0" applyAlignment="1" pivotButton="0" quotePrefix="0" xfId="0">
      <alignment horizontal="right" vertical="center"/>
    </xf>
    <xf numFmtId="3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164" fontId="16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vertical="center"/>
    </xf>
    <xf numFmtId="167" fontId="1" fillId="7" borderId="12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7" fontId="16" fillId="0" borderId="4" applyAlignment="1" pivotButton="0" quotePrefix="0" xfId="0">
      <alignment vertical="center"/>
    </xf>
    <xf numFmtId="167" fontId="16" fillId="0" borderId="4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167" fontId="1" fillId="0" borderId="2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7" fontId="1" fillId="0" borderId="9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167" fontId="1" fillId="0" borderId="17" applyAlignment="1" pivotButton="0" quotePrefix="0" xfId="0">
      <alignment vertical="center"/>
    </xf>
    <xf numFmtId="167" fontId="1" fillId="8" borderId="12" applyAlignment="1" pivotButton="0" quotePrefix="0" xfId="0">
      <alignment vertical="center"/>
    </xf>
    <xf numFmtId="164" fontId="1" fillId="0" borderId="12" applyAlignment="1" pivotButton="0" quotePrefix="0" xfId="0">
      <alignment vertical="center"/>
    </xf>
    <xf numFmtId="167" fontId="1" fillId="0" borderId="12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3" pivotButton="0" quotePrefix="0" xfId="0"/>
    <xf numFmtId="0" fontId="4" fillId="0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6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22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164" fontId="20" fillId="0" borderId="0" applyAlignment="1" pivotButton="0" quotePrefix="0" xfId="0">
      <alignment vertical="center"/>
    </xf>
    <xf numFmtId="164" fontId="20" fillId="0" borderId="9" applyAlignment="1" pivotButton="0" quotePrefix="0" xfId="0">
      <alignment vertical="center"/>
    </xf>
    <xf numFmtId="170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21" fillId="9" borderId="23" applyAlignment="1" pivotButton="0" quotePrefix="0" xfId="0">
      <alignment vertical="center"/>
    </xf>
    <xf numFmtId="167" fontId="21" fillId="9" borderId="12" applyAlignment="1" pivotButton="0" quotePrefix="0" xfId="0">
      <alignment vertical="center"/>
    </xf>
    <xf numFmtId="167" fontId="21" fillId="9" borderId="12" applyAlignment="1" pivotButton="0" quotePrefix="0" xfId="0">
      <alignment horizontal="right" vertical="center"/>
    </xf>
    <xf numFmtId="0" fontId="21" fillId="9" borderId="12" applyAlignment="1" pivotButton="0" quotePrefix="0" xfId="0">
      <alignment vertical="center"/>
    </xf>
    <xf numFmtId="167" fontId="21" fillId="9" borderId="24" applyAlignment="1" pivotButton="0" quotePrefix="0" xfId="0">
      <alignment horizontal="right" vertical="center"/>
    </xf>
    <xf numFmtId="164" fontId="21" fillId="9" borderId="12" applyAlignment="1" pivotButton="0" quotePrefix="0" xfId="0">
      <alignment horizontal="right" vertical="center"/>
    </xf>
    <xf numFmtId="164" fontId="21" fillId="9" borderId="24" applyAlignment="1" pivotButton="0" quotePrefix="0" xfId="0">
      <alignment horizontal="right" vertical="center"/>
    </xf>
    <xf numFmtId="0" fontId="21" fillId="0" borderId="6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/>
    </xf>
    <xf numFmtId="164" fontId="21" fillId="0" borderId="9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169" fontId="1" fillId="0" borderId="0" applyAlignment="1" pivotButton="0" quotePrefix="0" xfId="0">
      <alignment vertical="center"/>
    </xf>
    <xf numFmtId="169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4" fillId="0" borderId="5" applyAlignment="1" pivotButton="0" quotePrefix="0" xfId="0">
      <alignment horizontal="center" vertical="center"/>
    </xf>
    <xf numFmtId="0" fontId="18" fillId="0" borderId="8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7" fontId="16" fillId="9" borderId="12" applyAlignment="1" pivotButton="0" quotePrefix="0" xfId="0">
      <alignment vertical="center"/>
    </xf>
    <xf numFmtId="0" fontId="5" fillId="0" borderId="1" pivotButton="0" quotePrefix="0" xfId="0"/>
    <xf numFmtId="0" fontId="5" fillId="0" borderId="26" pivotButton="0" quotePrefix="0" xfId="0"/>
    <xf numFmtId="171" fontId="21" fillId="9" borderId="12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164" fontId="20" fillId="0" borderId="16" applyAlignment="1" pivotButton="0" quotePrefix="0" xfId="0">
      <alignment vertical="center"/>
    </xf>
    <xf numFmtId="0" fontId="21" fillId="9" borderId="27" applyAlignment="1" pivotButton="0" quotePrefix="0" xfId="0">
      <alignment vertical="center"/>
    </xf>
    <xf numFmtId="164" fontId="21" fillId="9" borderId="28" applyAlignment="1" pivotButton="0" quotePrefix="0" xfId="0">
      <alignment horizontal="right" vertical="center"/>
    </xf>
    <xf numFmtId="0" fontId="1" fillId="0" borderId="29" applyAlignment="1" pivotButton="0" quotePrefix="0" xfId="0">
      <alignment vertical="center"/>
    </xf>
    <xf numFmtId="37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37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vertical="center"/>
    </xf>
    <xf numFmtId="37" fontId="1" fillId="0" borderId="31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37" fontId="4" fillId="0" borderId="4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pivotButton="0" quotePrefix="1" xfId="0"/>
    <xf numFmtId="0" fontId="4" fillId="0" borderId="1" applyAlignment="1" pivotButton="0" quotePrefix="0" xfId="0">
      <alignment vertical="center"/>
    </xf>
    <xf numFmtId="39" fontId="24" fillId="0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72" fontId="24" fillId="0" borderId="0" applyAlignment="1" pivotButton="0" quotePrefix="0" xfId="0">
      <alignment vertical="center"/>
    </xf>
    <xf numFmtId="39" fontId="4" fillId="0" borderId="4" applyAlignment="1" pivotButton="0" quotePrefix="0" xfId="0">
      <alignment vertical="center"/>
    </xf>
    <xf numFmtId="39" fontId="4" fillId="0" borderId="0" applyAlignment="1" pivotButton="0" quotePrefix="0" xfId="0">
      <alignment vertical="center"/>
    </xf>
    <xf numFmtId="172" fontId="4" fillId="0" borderId="4" applyAlignment="1" pivotButton="0" quotePrefix="0" xfId="0">
      <alignment vertical="center"/>
    </xf>
    <xf numFmtId="172" fontId="1" fillId="0" borderId="0" applyAlignment="1" pivotButton="0" quotePrefix="0" xfId="0">
      <alignment vertical="center"/>
    </xf>
    <xf numFmtId="0" fontId="4" fillId="0" borderId="32" applyAlignment="1" pivotButton="0" quotePrefix="0" xfId="0">
      <alignment horizontal="center" vertical="center"/>
    </xf>
    <xf numFmtId="2" fontId="4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2" fontId="4" fillId="0" borderId="20" applyAlignment="1" pivotButton="0" quotePrefix="0" xfId="0">
      <alignment horizontal="center" vertical="center"/>
    </xf>
    <xf numFmtId="37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167" fontId="1" fillId="10" borderId="1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009C0006"/>
      </font>
      <fill>
        <patternFill patternType="solid">
          <fgColor rgb="00FFC7CE"/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00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164" min="1" max="2"/>
    <col width="22.86" customWidth="1" style="164" min="3" max="3"/>
    <col width="9" customWidth="1" style="164" min="4" max="4"/>
    <col width="7.71" customWidth="1" style="164" min="5" max="21"/>
    <col width="10.57" customWidth="1" style="164" min="22" max="22"/>
    <col width="8.710000000000001" customWidth="1" style="164" min="23" max="25"/>
    <col width="7.71" customWidth="1" style="164" min="26" max="28"/>
    <col hidden="1" outlineLevel="1" width="7.71" customWidth="1" style="164" min="29" max="30"/>
    <col width="7.71" customWidth="1" style="164" min="31" max="35"/>
  </cols>
  <sheetData>
    <row r="1" ht="4.5" customHeight="1" s="16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48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6.5" customHeight="1" s="164">
      <c r="A2" s="1" t="n"/>
      <c r="B2" s="2" t="inlineStr">
        <is>
          <t>Warrior Poets Fantasy Football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6.5" customHeight="1" s="164">
      <c r="A3" s="1" t="n"/>
      <c r="B3" s="5" t="inlineStr">
        <is>
          <t>Sidebets (2026)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8" t="n"/>
      <c r="P3" s="48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6.5" customHeight="1" s="164">
      <c r="A4" s="1" t="n"/>
      <c r="B4" s="1" t="n"/>
      <c r="C4" s="6" t="n"/>
      <c r="D4" s="6" t="n"/>
      <c r="E4" s="19" t="inlineStr">
        <is>
          <t>Weekly Points</t>
        </is>
      </c>
      <c r="V4" s="60" t="inlineStr">
        <is>
          <t>Total</t>
        </is>
      </c>
      <c r="W4" s="60" t="inlineStr">
        <is>
          <t>Points</t>
        </is>
      </c>
      <c r="X4" s="60" t="inlineStr">
        <is>
          <t>YE Season</t>
        </is>
      </c>
      <c r="Y4" s="60" t="inlineStr">
        <is>
          <t>3 Week</t>
        </is>
      </c>
      <c r="Z4" s="1" t="n"/>
      <c r="AA4" s="1" t="n"/>
      <c r="AB4" s="1" t="n"/>
      <c r="AC4" s="60" t="inlineStr">
        <is>
          <t>Season</t>
        </is>
      </c>
      <c r="AD4" s="60" t="inlineStr">
        <is>
          <t>3 Wk</t>
        </is>
      </c>
      <c r="AE4" s="1" t="n"/>
      <c r="AF4" s="1" t="n"/>
      <c r="AG4" s="1" t="n"/>
      <c r="AH4" s="1" t="n"/>
      <c r="AI4" s="1" t="n"/>
    </row>
    <row r="5" ht="16.5" customHeight="1" s="164">
      <c r="A5" s="1" t="n"/>
      <c r="B5" s="1" t="n"/>
      <c r="C5" s="6" t="n"/>
      <c r="D5" s="6" t="n"/>
      <c r="E5" s="15" t="inlineStr">
        <is>
          <t>1</t>
        </is>
      </c>
      <c r="F5" s="15" t="inlineStr">
        <is>
          <t>2</t>
        </is>
      </c>
      <c r="G5" s="15" t="inlineStr">
        <is>
          <t>3</t>
        </is>
      </c>
      <c r="H5" s="15" t="inlineStr">
        <is>
          <t>4</t>
        </is>
      </c>
      <c r="I5" s="15" t="inlineStr">
        <is>
          <t>5</t>
        </is>
      </c>
      <c r="J5" s="15" t="inlineStr">
        <is>
          <t>6</t>
        </is>
      </c>
      <c r="K5" s="15" t="inlineStr">
        <is>
          <t>7</t>
        </is>
      </c>
      <c r="L5" s="15" t="inlineStr">
        <is>
          <t>8</t>
        </is>
      </c>
      <c r="M5" s="15" t="inlineStr">
        <is>
          <t>9</t>
        </is>
      </c>
      <c r="N5" s="15" t="inlineStr">
        <is>
          <t>10</t>
        </is>
      </c>
      <c r="O5" s="15" t="inlineStr">
        <is>
          <t>11</t>
        </is>
      </c>
      <c r="P5" s="15" t="inlineStr">
        <is>
          <t>12</t>
        </is>
      </c>
      <c r="Q5" s="15" t="inlineStr">
        <is>
          <t>13</t>
        </is>
      </c>
      <c r="R5" s="15" t="inlineStr">
        <is>
          <t>14</t>
        </is>
      </c>
      <c r="S5" s="15" t="inlineStr">
        <is>
          <t>15</t>
        </is>
      </c>
      <c r="T5" s="15" t="inlineStr">
        <is>
          <t>16</t>
        </is>
      </c>
      <c r="U5" s="15" t="inlineStr">
        <is>
          <t>17</t>
        </is>
      </c>
      <c r="V5" s="19" t="inlineStr">
        <is>
          <t>Points</t>
        </is>
      </c>
      <c r="W5" s="19" t="inlineStr">
        <is>
          <t>Rank</t>
        </is>
      </c>
      <c r="X5" s="19" t="inlineStr">
        <is>
          <t>Standings</t>
        </is>
      </c>
      <c r="Y5" s="19" t="inlineStr">
        <is>
          <t>Trend</t>
        </is>
      </c>
      <c r="Z5" s="1" t="n"/>
      <c r="AA5" s="1" t="n"/>
      <c r="AB5" s="1" t="n"/>
      <c r="AC5" s="19" t="inlineStr">
        <is>
          <t>Avg</t>
        </is>
      </c>
      <c r="AD5" s="19" t="inlineStr">
        <is>
          <t>Avg</t>
        </is>
      </c>
      <c r="AE5" s="1" t="n"/>
      <c r="AF5" s="1" t="n"/>
      <c r="AG5" s="1" t="n"/>
      <c r="AH5" s="1" t="n"/>
      <c r="AI5" s="1" t="n"/>
    </row>
    <row r="6" ht="16.5" customHeight="1" s="164">
      <c r="A6" s="1" t="n"/>
      <c r="B6" s="24" t="n">
        <v>1</v>
      </c>
      <c r="C6" s="1" t="n"/>
      <c r="D6" s="1" t="inlineStr">
        <is>
          <t>CP</t>
        </is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61" t="n"/>
      <c r="V6" s="62">
        <f>SUM(E6:U6)</f>
        <v/>
      </c>
      <c r="W6" s="63">
        <f>RANK(V6,$V$6:$V$19)</f>
        <v/>
      </c>
      <c r="X6" s="64" t="n"/>
      <c r="Y6" s="65">
        <f>IF(ISERROR(AD6/AC6-1),"n/a ",AD6/AC6-1)</f>
        <v/>
      </c>
      <c r="Z6" s="1" t="n"/>
      <c r="AA6" s="66" t="n"/>
      <c r="AB6" s="1" t="n"/>
      <c r="AC6" s="67">
        <f>IFERROR(AVERAGE(E6:U6),"")</f>
        <v/>
      </c>
      <c r="AD6" s="48">
        <f>IFERROR(AVERAGE(P6:R6),"")</f>
        <v/>
      </c>
      <c r="AE6" s="1" t="n"/>
      <c r="AF6" s="1" t="n"/>
      <c r="AG6" s="1" t="n"/>
      <c r="AH6" s="48" t="n"/>
      <c r="AI6" s="48" t="n"/>
    </row>
    <row r="7" ht="16.5" customHeight="1" s="164">
      <c r="A7" s="1" t="n"/>
      <c r="B7" s="24" t="n">
        <v>2</v>
      </c>
      <c r="C7" s="1" t="n"/>
      <c r="D7" s="1" t="inlineStr">
        <is>
          <t>Yonk</t>
        </is>
      </c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61" t="n"/>
      <c r="V7" s="62">
        <f>SUM(E7:U7)</f>
        <v/>
      </c>
      <c r="W7" s="63">
        <f>RANK(V7,$V$6:$V$19)</f>
        <v/>
      </c>
      <c r="X7" s="64" t="n"/>
      <c r="Y7" s="65">
        <f>IF(ISERROR(AD7/AC7-1),"n/a ",AD7/AC7-1)</f>
        <v/>
      </c>
      <c r="Z7" s="1" t="n"/>
      <c r="AA7" s="66" t="n"/>
      <c r="AB7" s="1" t="n"/>
      <c r="AC7" s="67">
        <f>IFERROR(AVERAGE(E7:U7),"")</f>
        <v/>
      </c>
      <c r="AD7" s="48">
        <f>IFERROR(AVERAGE(P7:R7),"")</f>
        <v/>
      </c>
      <c r="AE7" s="1" t="n"/>
      <c r="AF7" s="1" t="n"/>
      <c r="AG7" s="1" t="n"/>
      <c r="AH7" s="48" t="n"/>
      <c r="AI7" s="48" t="n"/>
    </row>
    <row r="8" ht="16.5" customHeight="1" s="164">
      <c r="A8" s="1" t="n"/>
      <c r="B8" s="24" t="n">
        <v>3</v>
      </c>
      <c r="C8" s="1" t="n"/>
      <c r="D8" s="1" t="inlineStr">
        <is>
          <t>Farber</t>
        </is>
      </c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61" t="n"/>
      <c r="V8" s="62">
        <f>SUM(E8:U8)</f>
        <v/>
      </c>
      <c r="W8" s="63">
        <f>RANK(V8,$V$6:$V$19)</f>
        <v/>
      </c>
      <c r="X8" s="64" t="n"/>
      <c r="Y8" s="65">
        <f>IF(ISERROR(AD8/AC8-1),"n/a ",AD8/AC8-1)</f>
        <v/>
      </c>
      <c r="Z8" s="1" t="n"/>
      <c r="AA8" s="66" t="n"/>
      <c r="AB8" s="1" t="n"/>
      <c r="AC8" s="67">
        <f>IFERROR(AVERAGE(E8:U8),"")</f>
        <v/>
      </c>
      <c r="AD8" s="48">
        <f>IFERROR(AVERAGE(P8:R8),"")</f>
        <v/>
      </c>
      <c r="AE8" s="1" t="n"/>
      <c r="AF8" s="1" t="n"/>
      <c r="AG8" s="1" t="n"/>
      <c r="AH8" s="48" t="n"/>
      <c r="AI8" s="48" t="n"/>
    </row>
    <row r="9" ht="16.5" customHeight="1" s="164">
      <c r="A9" s="1" t="n"/>
      <c r="B9" s="24" t="n">
        <v>4</v>
      </c>
      <c r="C9" s="1" t="n"/>
      <c r="D9" s="1" t="inlineStr">
        <is>
          <t>Rick</t>
        </is>
      </c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61" t="n"/>
      <c r="V9" s="62">
        <f>SUM(E9:U9)</f>
        <v/>
      </c>
      <c r="W9" s="63">
        <f>RANK(V9,$V$6:$V$19)</f>
        <v/>
      </c>
      <c r="X9" s="64" t="n"/>
      <c r="Y9" s="65">
        <f>IF(ISERROR(AD9/AC9-1),"n/a ",AD9/AC9-1)</f>
        <v/>
      </c>
      <c r="Z9" s="1" t="n"/>
      <c r="AA9" s="66" t="n"/>
      <c r="AB9" s="1" t="n"/>
      <c r="AC9" s="67">
        <f>IFERROR(AVERAGE(E9:U9),"")</f>
        <v/>
      </c>
      <c r="AD9" s="48">
        <f>IFERROR(AVERAGE(P9:R9),"")</f>
        <v/>
      </c>
      <c r="AE9" s="1" t="n"/>
      <c r="AF9" s="1" t="n"/>
      <c r="AG9" s="1" t="n"/>
      <c r="AH9" s="48" t="n"/>
      <c r="AI9" s="48" t="n"/>
    </row>
    <row r="10" ht="16.5" customHeight="1" s="164">
      <c r="A10" s="1" t="n"/>
      <c r="B10" s="24" t="n">
        <v>5</v>
      </c>
      <c r="C10" s="1" t="n"/>
      <c r="D10" s="1" t="inlineStr">
        <is>
          <t>JB</t>
        </is>
      </c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61" t="n"/>
      <c r="V10" s="62">
        <f>SUM(E10:U10)</f>
        <v/>
      </c>
      <c r="W10" s="63">
        <f>RANK(V10,$V$6:$V$19)</f>
        <v/>
      </c>
      <c r="X10" s="64" t="n"/>
      <c r="Y10" s="65">
        <f>IF(ISERROR(AD10/AC10-1),"n/a ",AD10/AC10-1)</f>
        <v/>
      </c>
      <c r="Z10" s="1" t="n"/>
      <c r="AA10" s="1" t="n"/>
      <c r="AB10" s="1" t="n"/>
      <c r="AC10" s="67">
        <f>IFERROR(AVERAGE(E10:U10),"")</f>
        <v/>
      </c>
      <c r="AD10" s="48">
        <f>IFERROR(AVERAGE(P10:R10),"")</f>
        <v/>
      </c>
      <c r="AE10" s="1" t="n"/>
      <c r="AF10" s="1" t="n"/>
      <c r="AG10" s="1" t="n"/>
      <c r="AH10" s="48" t="n"/>
      <c r="AI10" s="48" t="n"/>
    </row>
    <row r="11" ht="16.5" customHeight="1" s="164">
      <c r="A11" s="1" t="n"/>
      <c r="B11" s="24" t="n">
        <v>6</v>
      </c>
      <c r="C11" s="1" t="n"/>
      <c r="D11" s="1" t="inlineStr">
        <is>
          <t>Rizzo</t>
        </is>
      </c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61" t="n"/>
      <c r="V11" s="62">
        <f>SUM(E11:U11)</f>
        <v/>
      </c>
      <c r="W11" s="63">
        <f>RANK(V11,$V$6:$V$19)</f>
        <v/>
      </c>
      <c r="X11" s="64" t="n"/>
      <c r="Y11" s="65">
        <f>IF(ISERROR(AD11/AC11-1),"n/a ",AD11/AC11-1)</f>
        <v/>
      </c>
      <c r="Z11" s="1" t="n"/>
      <c r="AA11" s="66" t="n"/>
      <c r="AB11" s="1" t="n"/>
      <c r="AC11" s="67">
        <f>IFERROR(AVERAGE(E11:U11),"")</f>
        <v/>
      </c>
      <c r="AD11" s="48">
        <f>IFERROR(AVERAGE(P11:R11),"")</f>
        <v/>
      </c>
      <c r="AE11" s="1" t="n"/>
      <c r="AF11" s="1" t="n"/>
      <c r="AG11" s="1" t="n"/>
      <c r="AH11" s="48" t="n"/>
      <c r="AI11" s="48" t="n"/>
    </row>
    <row r="12" ht="16.5" customHeight="1" s="164">
      <c r="A12" s="1" t="n"/>
      <c r="B12" s="24" t="n">
        <v>7</v>
      </c>
      <c r="C12" s="1" t="n"/>
      <c r="D12" s="1" t="inlineStr">
        <is>
          <t>Ben</t>
        </is>
      </c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61" t="n"/>
      <c r="V12" s="62">
        <f>SUM(E12:U12)</f>
        <v/>
      </c>
      <c r="W12" s="63">
        <f>RANK(V12,$V$6:$V$19)</f>
        <v/>
      </c>
      <c r="X12" s="64" t="n"/>
      <c r="Y12" s="65">
        <f>IF(ISERROR(AD12/AC12-1),"n/a ",AD12/AC12-1)</f>
        <v/>
      </c>
      <c r="Z12" s="1" t="n"/>
      <c r="AA12" s="66" t="n"/>
      <c r="AB12" s="1" t="n"/>
      <c r="AC12" s="67">
        <f>IFERROR(AVERAGE(E12:U12),"")</f>
        <v/>
      </c>
      <c r="AD12" s="48">
        <f>IFERROR(AVERAGE(P12:R12),"")</f>
        <v/>
      </c>
      <c r="AE12" s="1" t="n"/>
      <c r="AF12" s="1" t="n"/>
      <c r="AG12" s="1" t="n"/>
      <c r="AH12" s="48" t="n"/>
      <c r="AI12" s="48" t="n"/>
    </row>
    <row r="13" ht="16.5" customHeight="1" s="164">
      <c r="A13" s="1" t="n"/>
      <c r="B13" s="24" t="n">
        <v>8</v>
      </c>
      <c r="C13" s="1" t="n"/>
      <c r="D13" s="1" t="inlineStr">
        <is>
          <t>Dues</t>
        </is>
      </c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61" t="n"/>
      <c r="V13" s="62">
        <f>SUM(E13:U13)</f>
        <v/>
      </c>
      <c r="W13" s="63">
        <f>RANK(V13,$V$6:$V$19)</f>
        <v/>
      </c>
      <c r="X13" s="64" t="n"/>
      <c r="Y13" s="65">
        <f>IF(ISERROR(AD13/AC13-1),"n/a ",AD13/AC13-1)</f>
        <v/>
      </c>
      <c r="Z13" s="1" t="n"/>
      <c r="AA13" s="1" t="n"/>
      <c r="AB13" s="1" t="n"/>
      <c r="AC13" s="67">
        <f>IFERROR(AVERAGE(E13:U13),"")</f>
        <v/>
      </c>
      <c r="AD13" s="48">
        <f>IFERROR(AVERAGE(P13:R13),"")</f>
        <v/>
      </c>
      <c r="AE13" s="1" t="n"/>
      <c r="AF13" s="1" t="n"/>
      <c r="AG13" s="1" t="n"/>
      <c r="AH13" s="48" t="n"/>
      <c r="AI13" s="48" t="n"/>
    </row>
    <row r="14" ht="16.5" customHeight="1" s="164">
      <c r="A14" s="1" t="n"/>
      <c r="B14" s="24" t="n">
        <v>9</v>
      </c>
      <c r="C14" s="1" t="n"/>
      <c r="D14" s="1" t="inlineStr">
        <is>
          <t>Rich</t>
        </is>
      </c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61" t="n"/>
      <c r="V14" s="62">
        <f>SUM(E14:U14)</f>
        <v/>
      </c>
      <c r="W14" s="63">
        <f>RANK(V14,$V$6:$V$19)</f>
        <v/>
      </c>
      <c r="X14" s="64" t="n"/>
      <c r="Y14" s="65">
        <f>IF(ISERROR(AD14/AC14-1),"n/a ",AD14/AC14-1)</f>
        <v/>
      </c>
      <c r="Z14" s="1" t="n"/>
      <c r="AA14" s="66" t="n"/>
      <c r="AB14" s="1" t="n"/>
      <c r="AC14" s="67">
        <f>IFERROR(AVERAGE(E14:U14),"")</f>
        <v/>
      </c>
      <c r="AD14" s="48">
        <f>IFERROR(AVERAGE(P14:R14),"")</f>
        <v/>
      </c>
      <c r="AE14" s="1" t="n"/>
      <c r="AF14" s="1" t="n"/>
      <c r="AG14" s="1" t="n"/>
      <c r="AH14" s="48" t="n"/>
      <c r="AI14" s="48" t="n"/>
    </row>
    <row r="15" ht="16.5" customHeight="1" s="164">
      <c r="A15" s="1" t="n"/>
      <c r="B15" s="24" t="n">
        <v>10</v>
      </c>
      <c r="C15" s="1" t="n"/>
      <c r="D15" s="1" t="inlineStr">
        <is>
          <t>Stern</t>
        </is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61" t="n"/>
      <c r="V15" s="62">
        <f>SUM(E15:U15)</f>
        <v/>
      </c>
      <c r="W15" s="63">
        <f>RANK(V15,$V$6:$V$19)</f>
        <v/>
      </c>
      <c r="X15" s="64" t="n"/>
      <c r="Y15" s="65">
        <f>IF(ISERROR(AD15/AC15-1),"n/a ",AD15/AC15-1)</f>
        <v/>
      </c>
      <c r="Z15" s="1" t="n"/>
      <c r="AA15" s="66" t="n"/>
      <c r="AB15" s="1" t="n"/>
      <c r="AC15" s="67">
        <f>IFERROR(AVERAGE(E15:U15),"")</f>
        <v/>
      </c>
      <c r="AD15" s="48">
        <f>IFERROR(AVERAGE(P15:R15),"")</f>
        <v/>
      </c>
      <c r="AE15" s="1" t="n"/>
      <c r="AF15" s="1" t="n"/>
      <c r="AG15" s="1" t="n"/>
      <c r="AH15" s="48" t="n"/>
      <c r="AI15" s="48" t="n"/>
    </row>
    <row r="16" ht="16.5" customHeight="1" s="164">
      <c r="A16" s="1" t="n"/>
      <c r="B16" s="24" t="n">
        <v>11</v>
      </c>
      <c r="C16" s="1" t="n"/>
      <c r="D16" s="1" t="inlineStr">
        <is>
          <t>Andrew</t>
        </is>
      </c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61" t="n"/>
      <c r="V16" s="62">
        <f>SUM(E16:U16)</f>
        <v/>
      </c>
      <c r="W16" s="63">
        <f>RANK(V16,$V$6:$V$19)</f>
        <v/>
      </c>
      <c r="X16" s="64" t="n"/>
      <c r="Y16" s="65">
        <f>IF(ISERROR(AD16/AC16-1),"n/a ",AD16/AC16-1)</f>
        <v/>
      </c>
      <c r="Z16" s="1" t="n"/>
      <c r="AA16" s="1" t="n"/>
      <c r="AB16" s="1" t="n"/>
      <c r="AC16" s="67">
        <f>IFERROR(AVERAGE(E16:U16),"")</f>
        <v/>
      </c>
      <c r="AD16" s="48">
        <f>IFERROR(AVERAGE(P16:R16),"")</f>
        <v/>
      </c>
      <c r="AE16" s="1" t="n"/>
      <c r="AF16" s="1" t="n"/>
      <c r="AG16" s="1" t="n"/>
      <c r="AH16" s="48" t="n"/>
      <c r="AI16" s="48" t="n"/>
    </row>
    <row r="17" ht="16.5" customHeight="1" s="164">
      <c r="A17" s="1" t="n"/>
      <c r="B17" s="24" t="n">
        <v>12</v>
      </c>
      <c r="C17" s="1" t="n"/>
      <c r="D17" s="1" t="inlineStr">
        <is>
          <t>Pinkston</t>
        </is>
      </c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61" t="n"/>
      <c r="V17" s="62">
        <f>SUM(E17:U17)</f>
        <v/>
      </c>
      <c r="W17" s="63">
        <f>RANK(V17,$V$6:$V$19)</f>
        <v/>
      </c>
      <c r="X17" s="64" t="n"/>
      <c r="Y17" s="65">
        <f>IF(ISERROR(AD17/AC17-1),"n/a ",AD17/AC17-1)</f>
        <v/>
      </c>
      <c r="Z17" s="1" t="n"/>
      <c r="AA17" s="66" t="n"/>
      <c r="AB17" s="1" t="n"/>
      <c r="AC17" s="67">
        <f>IFERROR(AVERAGE(E17:U17),"")</f>
        <v/>
      </c>
      <c r="AD17" s="48">
        <f>IFERROR(AVERAGE(P17:R17),"")</f>
        <v/>
      </c>
      <c r="AE17" s="1" t="n"/>
      <c r="AF17" s="1" t="n"/>
      <c r="AG17" s="1" t="n"/>
      <c r="AH17" s="48" t="n"/>
      <c r="AI17" s="48" t="n"/>
    </row>
    <row r="18" ht="16.5" customHeight="1" s="164">
      <c r="A18" s="1" t="n"/>
      <c r="B18" s="24" t="n">
        <v>13</v>
      </c>
      <c r="C18" s="1" t="n"/>
      <c r="D18" s="1" t="inlineStr">
        <is>
          <t>Lloyd</t>
        </is>
      </c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61" t="n"/>
      <c r="V18" s="62">
        <f>SUM(E18:U18)</f>
        <v/>
      </c>
      <c r="W18" s="63">
        <f>RANK(V18,$V$6:$V$19)</f>
        <v/>
      </c>
      <c r="X18" s="64" t="n"/>
      <c r="Y18" s="65">
        <f>IF(ISERROR(AD18/AC18-1),"n/a ",AD18/AC18-1)</f>
        <v/>
      </c>
      <c r="Z18" s="1" t="n"/>
      <c r="AA18" s="66" t="n"/>
      <c r="AB18" s="1" t="n"/>
      <c r="AC18" s="67">
        <f>IFERROR(AVERAGE(E18:U18),"")</f>
        <v/>
      </c>
      <c r="AD18" s="48">
        <f>IFERROR(AVERAGE(P18:R18),"")</f>
        <v/>
      </c>
      <c r="AE18" s="1" t="n"/>
      <c r="AF18" s="1" t="n"/>
      <c r="AG18" s="1" t="n"/>
      <c r="AH18" s="48" t="n"/>
      <c r="AI18" s="48" t="n"/>
    </row>
    <row r="19" ht="16.5" customHeight="1" s="164">
      <c r="A19" s="1" t="n"/>
      <c r="B19" s="24" t="n">
        <v>14</v>
      </c>
      <c r="C19" s="1" t="n"/>
      <c r="D19" s="1" t="inlineStr">
        <is>
          <t>Jett</t>
        </is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61" t="n"/>
      <c r="V19" s="62">
        <f>SUM(E19:U19)</f>
        <v/>
      </c>
      <c r="W19" s="63">
        <f>RANK(V19,$V$6:$V$19)</f>
        <v/>
      </c>
      <c r="X19" s="64" t="n"/>
      <c r="Y19" s="65">
        <f>IF(ISERROR(AD19/AC19-1),"n/a ",AD19/AC19-1)</f>
        <v/>
      </c>
      <c r="Z19" s="1" t="n"/>
      <c r="AA19" s="1" t="n"/>
      <c r="AB19" s="1" t="n"/>
      <c r="AC19" s="67">
        <f>IFERROR(AVERAGE(E19:U19),"")</f>
        <v/>
      </c>
      <c r="AD19" s="48">
        <f>IFERROR(AVERAGE(P19:R19),"")</f>
        <v/>
      </c>
      <c r="AE19" s="1" t="n"/>
      <c r="AF19" s="1" t="n"/>
      <c r="AG19" s="1" t="n"/>
      <c r="AH19" s="48" t="n"/>
      <c r="AI19" s="48" t="n"/>
    </row>
    <row r="20" ht="16.5" customHeight="1" s="164">
      <c r="A20" s="1" t="n"/>
      <c r="B20" s="1" t="n"/>
      <c r="C20" s="68" t="inlineStr">
        <is>
          <t>Engraving Score</t>
        </is>
      </c>
      <c r="D20" s="69" t="n">
        <v>500</v>
      </c>
      <c r="E20" s="70">
        <f>IFERROR(MIN($E$6:E19),"")</f>
        <v/>
      </c>
      <c r="F20" s="70">
        <f>IFERROR(MIN($E$6:F19),"")</f>
        <v/>
      </c>
      <c r="G20" s="70">
        <f>IFERROR(MIN($E$6:G19),"")</f>
        <v/>
      </c>
      <c r="H20" s="70">
        <f>IFERROR(MIN($E$6:H19),"")</f>
        <v/>
      </c>
      <c r="I20" s="70">
        <f>IFERROR(MIN($E$6:I19),"")</f>
        <v/>
      </c>
      <c r="J20" s="70">
        <f>IFERROR(MIN($E$6:J19),"")</f>
        <v/>
      </c>
      <c r="K20" s="70">
        <f>IFERROR(MIN($E$6:K19),"")</f>
        <v/>
      </c>
      <c r="L20" s="70">
        <f>IFERROR(MIN($E$6:L19),"")</f>
        <v/>
      </c>
      <c r="M20" s="70">
        <f>IFERROR(MIN($E$6:M19),"")</f>
        <v/>
      </c>
      <c r="N20" s="70">
        <f>IFERROR(MIN($E$6:N19),"")</f>
        <v/>
      </c>
      <c r="O20" s="70">
        <f>IFERROR(MIN($E$6:O19),"")</f>
        <v/>
      </c>
      <c r="P20" s="70">
        <f>IFERROR(MIN($E$6:P19),"")</f>
        <v/>
      </c>
      <c r="Q20" s="70">
        <f>IFERROR(MIN($E$6:Q19),"")</f>
        <v/>
      </c>
      <c r="R20" s="70">
        <f>IFERROR(MIN($E$6:R19),"")</f>
        <v/>
      </c>
      <c r="S20" s="70">
        <f>IFERROR(MIN($E$6:S19),"")</f>
        <v/>
      </c>
      <c r="T20" s="70">
        <f>IFERROR(MIN($E$6:T19),"")</f>
        <v/>
      </c>
      <c r="U20" s="70">
        <f>IFERROR(MIN($E$6:U19),"")</f>
        <v/>
      </c>
      <c r="V20" s="71" t="n"/>
      <c r="W20" s="71" t="n"/>
      <c r="X20" s="10" t="n"/>
      <c r="Y20" s="10" t="n"/>
      <c r="Z20" s="1" t="n"/>
      <c r="AA20" s="66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16.5" customHeight="1" s="164">
      <c r="A21" s="1" t="n"/>
      <c r="B21" s="1" t="n"/>
      <c r="C21" s="72" t="inlineStr">
        <is>
          <t>Owner</t>
        </is>
      </c>
      <c r="D21" s="72" t="n"/>
      <c r="E21" s="73">
        <f>IFERROR(IF(E20&lt;D20,INDEX($D$6:$D$19,MATCH(E20,E$6:E$19,0)),IF(MIN(E6:E19)=D20,TEXT(D21,"general")&amp;"/"&amp;TEXT(INDEX($D$6:$D$19,MATCH(E20,E$6:E$19,0)),"general"),D21)),"")</f>
        <v/>
      </c>
      <c r="F21" s="73">
        <f>IFERROR(IF(F20&lt;E20,INDEX($D$6:$D$19,MATCH(F20,F$6:F$19,0)),IF(MIN(F6:F19)=E20,TEXT(E21,"general")&amp;"/"&amp;TEXT(INDEX($D$6:$D$19,MATCH(F20,F$6:F$19,0)),"general"),E21)),"")</f>
        <v/>
      </c>
      <c r="G21" s="73">
        <f>IFERROR(IF(G20&lt;F20,INDEX($D$6:$D$19,MATCH(G20,G$6:G$19,0)),IF(MIN(G6:G19)=F20,TEXT(F21,"general")&amp;"/"&amp;TEXT(INDEX($D$6:$D$19,MATCH(G20,G$6:G$19,0)),"general"),F21)),"")</f>
        <v/>
      </c>
      <c r="H21" s="73">
        <f>IFERROR(IF(H20&lt;G20,INDEX($D$6:$D$19,MATCH(H20,H$6:H$19,0)),IF(MIN(H6:H19)=G20,TEXT(G21,"general")&amp;"/"&amp;TEXT(INDEX($D$6:$D$19,MATCH(H20,H$6:H$19,0)),"general"),G21)),"")</f>
        <v/>
      </c>
      <c r="I21" s="73">
        <f>IFERROR(IF(I20&lt;H20,INDEX($D$6:$D$19,MATCH(I20,I$6:I$19,0)),IF(MIN(I6:I19)=H20,TEXT(H21,"general")&amp;"/"&amp;TEXT(INDEX($D$6:$D$19,MATCH(I20,I$6:I$19,0)),"general"),H21)),"")</f>
        <v/>
      </c>
      <c r="J21" s="73">
        <f>IFERROR(IF(J20&lt;I20,INDEX($D$6:$D$19,MATCH(J20,J$6:J$19,0)),IF(MIN(J6:J19)=I20,TEXT(I21,"general")&amp;"/"&amp;TEXT(INDEX($D$6:$D$19,MATCH(J20,J$6:J$19,0)),"general"),I21)),"")</f>
        <v/>
      </c>
      <c r="K21" s="73">
        <f>IFERROR(IF(K20&lt;J20,INDEX($D$6:$D$19,MATCH(K20,K$6:K$19,0)),IF(MIN(K6:K19)=J20,TEXT(J21,"general")&amp;"/"&amp;TEXT(INDEX($D$6:$D$19,MATCH(K20,K$6:K$19,0)),"general"),J21)),"")</f>
        <v/>
      </c>
      <c r="L21" s="73">
        <f>IFERROR(IF(L20&lt;K20,INDEX($D$6:$D$19,MATCH(L20,L$6:L$19,0)),IF(MIN(L6:L19)=K20,TEXT(K21,"general")&amp;"/"&amp;TEXT(INDEX($D$6:$D$19,MATCH(L20,L$6:L$19,0)),"general"),K21)),"")</f>
        <v/>
      </c>
      <c r="M21" s="73">
        <f>IFERROR(IF(M20&lt;L20,INDEX($D$6:$D$19,MATCH(M20,M$6:M$19,0)),IF(MIN(M6:M19)=L20,TEXT(L21,"general")&amp;"/"&amp;TEXT(INDEX($D$6:$D$19,MATCH(M20,M$6:M$19,0)),"general"),L21)),"")</f>
        <v/>
      </c>
      <c r="N21" s="73">
        <f>IFERROR(IF(N20&lt;M20,INDEX($D$6:$D$19,MATCH(N20,N$6:N$19,0)),IF(MIN(N6:N19)=M20,TEXT(M21,"general")&amp;"/"&amp;TEXT(INDEX($D$6:$D$19,MATCH(N20,N$6:N$19,0)),"general"),M21)),"")</f>
        <v/>
      </c>
      <c r="O21" s="73">
        <f>IFERROR(IF(O20&lt;N20,INDEX($D$6:$D$19,MATCH(O20,O$6:O$19,0)),IF(MIN(O6:O19)=N20,TEXT(N21,"general")&amp;"/"&amp;TEXT(INDEX($D$6:$D$19,MATCH(O20,O$6:O$19,0)),"general"),N21)),"")</f>
        <v/>
      </c>
      <c r="P21" s="73">
        <f>IFERROR(IF(P20&lt;O20,INDEX($D$6:$D$19,MATCH(P20,P$6:P$19,0)),IF(MIN(P6:P19)=O20,TEXT(O21,"general")&amp;"/"&amp;TEXT(INDEX($D$6:$D$19,MATCH(P20,P$6:P$19,0)),"general"),O21)),"")</f>
        <v/>
      </c>
      <c r="Q21" s="73">
        <f>IFERROR(IF(Q20&lt;P20,INDEX($D$6:$D$19,MATCH(Q20,Q$6:Q$19,0)),IF(MIN(Q6:Q19)=P20,TEXT(P21,"general")&amp;"/"&amp;TEXT(INDEX($D$6:$D$19,MATCH(Q20,Q$6:Q$19,0)),"general"),P21)),"")</f>
        <v/>
      </c>
      <c r="R21" s="73">
        <f>IFERROR(IF(R20&lt;Q20,INDEX($D$6:$D$19,MATCH(R20,R$6:R$19,0)),IF(MIN(R6:R19)=Q20,TEXT(Q21,"general")&amp;"/"&amp;TEXT(INDEX($D$6:$D$19,MATCH(R20,R$6:R$19,0)),"general"),Q21)),"")</f>
        <v/>
      </c>
      <c r="S21" s="73">
        <f>IFERROR(IF(S20&lt;R20,INDEX($D$6:$D$19,MATCH(S20,S$6:S$19,0)),IF(MIN(S6:S19)=R20,TEXT(R21,"general")&amp;"/"&amp;TEXT(INDEX($D$6:$D$19,MATCH(S20,S$6:S$19,0)),"general"),R21)),"")</f>
        <v/>
      </c>
      <c r="T21" s="73">
        <f>IFERROR(IF(T20&lt;S20,INDEX($D$6:$D$19,MATCH(T20,T$6:T$19,0)),IF(MIN(T6:T19)=S20,TEXT(S21,"general")&amp;"/"&amp;TEXT(INDEX($D$6:$D$19,MATCH(T20,T$6:T$19,0)),"general"),S21)),"")</f>
        <v/>
      </c>
      <c r="U21" s="73">
        <f>IFERROR(IF(U20&lt;T20,INDEX($D$6:$D$19,MATCH(U20,U$6:U$19,0)),IF(MIN(U6:U19)=T20,TEXT(T21,"general")&amp;"/"&amp;TEXT(INDEX($D$6:$D$19,MATCH(U20,U$6:U$19,0)),"general"),T21)),"")</f>
        <v/>
      </c>
      <c r="V21" s="63" t="n"/>
      <c r="W21" s="63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16.5" customHeight="1" s="164">
      <c r="A22" s="1" t="n"/>
      <c r="B22" s="1" t="n"/>
      <c r="C22" s="72" t="n"/>
      <c r="D22" s="72" t="n"/>
      <c r="E22" s="74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63" t="n"/>
      <c r="W22" s="63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16.5" customHeight="1" s="164">
      <c r="A23" s="1" t="n"/>
      <c r="B23" s="1" t="n"/>
      <c r="C23" s="1" t="n"/>
      <c r="D23" s="1" t="n"/>
      <c r="E23" s="19" t="inlineStr">
        <is>
          <t>Weekly Sidebets</t>
        </is>
      </c>
      <c r="V23" s="60" t="inlineStr">
        <is>
          <t>Sidebet</t>
        </is>
      </c>
      <c r="W23" s="60" t="inlineStr">
        <is>
          <t>Sidebet</t>
        </is>
      </c>
      <c r="X23" s="60" t="inlineStr">
        <is>
          <t>Low Man</t>
        </is>
      </c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16.5" customHeight="1" s="164">
      <c r="A24" s="1" t="n"/>
      <c r="B24" s="1" t="n"/>
      <c r="C24" s="6" t="n"/>
      <c r="D24" s="6" t="n"/>
      <c r="E24" s="15" t="inlineStr">
        <is>
          <t>1</t>
        </is>
      </c>
      <c r="F24" s="15" t="inlineStr">
        <is>
          <t>2</t>
        </is>
      </c>
      <c r="G24" s="15" t="inlineStr">
        <is>
          <t>3</t>
        </is>
      </c>
      <c r="H24" s="15" t="inlineStr">
        <is>
          <t>4</t>
        </is>
      </c>
      <c r="I24" s="15" t="inlineStr">
        <is>
          <t>5</t>
        </is>
      </c>
      <c r="J24" s="15" t="inlineStr">
        <is>
          <t>6</t>
        </is>
      </c>
      <c r="K24" s="15" t="inlineStr">
        <is>
          <t>7</t>
        </is>
      </c>
      <c r="L24" s="15" t="inlineStr">
        <is>
          <t>8</t>
        </is>
      </c>
      <c r="M24" s="15" t="inlineStr">
        <is>
          <t>9</t>
        </is>
      </c>
      <c r="N24" s="15" t="inlineStr">
        <is>
          <t>10</t>
        </is>
      </c>
      <c r="O24" s="15" t="inlineStr">
        <is>
          <t>11</t>
        </is>
      </c>
      <c r="P24" s="15" t="inlineStr">
        <is>
          <t>12</t>
        </is>
      </c>
      <c r="Q24" s="15" t="inlineStr">
        <is>
          <t>13</t>
        </is>
      </c>
      <c r="R24" s="15" t="inlineStr">
        <is>
          <t>14</t>
        </is>
      </c>
      <c r="S24" s="15" t="inlineStr">
        <is>
          <t>15</t>
        </is>
      </c>
      <c r="T24" s="15" t="inlineStr">
        <is>
          <t>16</t>
        </is>
      </c>
      <c r="U24" s="15" t="inlineStr">
        <is>
          <t>17</t>
        </is>
      </c>
      <c r="V24" s="19" t="inlineStr">
        <is>
          <t>Totals</t>
        </is>
      </c>
      <c r="W24" s="19" t="inlineStr">
        <is>
          <t>Rank</t>
        </is>
      </c>
      <c r="X24" s="19" t="inlineStr">
        <is>
          <t>Count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16.5" customHeight="1" s="164">
      <c r="A25" s="1" t="n"/>
      <c r="B25" s="1" t="n"/>
      <c r="C25" s="1">
        <f>C6</f>
        <v/>
      </c>
      <c r="D25" s="1">
        <f>D6</f>
        <v/>
      </c>
      <c r="E25" s="76">
        <f>IF(ISERROR(INDEX($F$42:$F$55,MATCH(RANK(E6,E$6:E$19),$E$42:$E$55,0))),0,INDEX($F$42:$F$55,MATCH(RANK(E6,E$6:E$19),$E$42:$E$55,0)))</f>
        <v/>
      </c>
      <c r="F25" s="76">
        <f>IF(ISERROR(INDEX($F$42:$F$55,MATCH(RANK(F6,F$6:F$19),$E$42:$E$55,0))),0,INDEX($F$42:$F$55,MATCH(RANK(F6,F$6:F$19),$E$42:$E$55,0)))</f>
        <v/>
      </c>
      <c r="G25" s="76">
        <f>IF(ISERROR(INDEX($F$42:$F$55,MATCH(RANK(G6,G$6:G$19),$E$42:$E$55,0))),0,INDEX($F$42:$F$55,MATCH(RANK(G6,G$6:G$19),$E$42:$E$55,0)))</f>
        <v/>
      </c>
      <c r="H25" s="76">
        <f>IF(ISERROR(INDEX($F$42:$F$55,MATCH(RANK(H6,H$6:H$19),$E$42:$E$55,0))),0,INDEX($F$42:$F$55,MATCH(RANK(H6,H$6:H$19),$E$42:$E$55,0)))</f>
        <v/>
      </c>
      <c r="I25" s="76">
        <f>IF(ISERROR(INDEX($F$42:$F$55,MATCH(RANK(I6,I$6:I$19),$E$42:$E$55,0))),0,INDEX($F$42:$F$55,MATCH(RANK(I6,I$6:I$19),$E$42:$E$55,0)))</f>
        <v/>
      </c>
      <c r="J25" s="76">
        <f>IF(ISERROR(INDEX($F$42:$F$55,MATCH(RANK(J6,J$6:J$19),$E$42:$E$55,0))),0,INDEX($F$42:$F$55,MATCH(RANK(J6,J$6:J$19),$E$42:$E$55,0)))</f>
        <v/>
      </c>
      <c r="K25" s="76">
        <f>IF(ISERROR(INDEX($F$42:$F$55,MATCH(RANK(K6,K$6:K$19),$E$42:$E$55,0))),0,INDEX($F$42:$F$55,MATCH(RANK(K6,K$6:K$19),$E$42:$E$55,0)))</f>
        <v/>
      </c>
      <c r="L25" s="76">
        <f>IF(ISERROR(INDEX($F$42:$F$55,MATCH(RANK(L6,L$6:L$19),$E$42:$E$55,0))),0,INDEX($F$42:$F$55,MATCH(RANK(L6,L$6:L$19),$E$42:$E$55,0)))</f>
        <v/>
      </c>
      <c r="M25" s="76">
        <f>IF(ISERROR(INDEX($F$42:$F$55,MATCH(RANK(M6,M$6:M$19),$E$42:$E$55,0))),0,INDEX($F$42:$F$55,MATCH(RANK(M6,M$6:M$19),$E$42:$E$55,0)))</f>
        <v/>
      </c>
      <c r="N25" s="76">
        <f>IF(ISERROR(INDEX($F$42:$F$55,MATCH(RANK(N6,N$6:N$19),$E$42:$E$55,0))),0,INDEX($F$42:$F$55,MATCH(RANK(N6,N$6:N$19),$E$42:$E$55,0)))</f>
        <v/>
      </c>
      <c r="O25" s="76">
        <f>IF(ISERROR(INDEX($F$42:$F$55,MATCH(RANK(O6,O$6:O$19),$E$42:$E$55,0))),0,INDEX($F$42:$F$55,MATCH(RANK(O6,O$6:O$19),$E$42:$E$55,0)))</f>
        <v/>
      </c>
      <c r="P25" s="76">
        <f>IF(ISERROR(INDEX($F$42:$F$55,MATCH(RANK(P6,P$6:P$19),$E$42:$E$55,0))),0,INDEX($F$42:$F$55,MATCH(RANK(P6,P$6:P$19),$E$42:$E$55,0)))</f>
        <v/>
      </c>
      <c r="Q25" s="76">
        <f>IF(ISERROR(INDEX($F$42:$F$55,MATCH(RANK(Q6,Q$6:Q$19),$E$42:$E$55,0))),0,INDEX($F$42:$F$55,MATCH(RANK(Q6,Q$6:Q$19),$E$42:$E$55,0)))</f>
        <v/>
      </c>
      <c r="R25" s="76">
        <f>IF(ISERROR(INDEX($F$42:$F$55,MATCH(RANK(R6,R$6:R$19),$E$42:$E$55,0))),0,INDEX($F$42:$F$55,MATCH(RANK(R6,R$6:R$19),$E$42:$E$55,0)))</f>
        <v/>
      </c>
      <c r="S25" s="76">
        <f>IF(ISERROR(INDEX($F$42:$F$55,MATCH(RANK(S6,S$6:S$19),$E$42:$E$55,0))),0,INDEX($F$42:$F$55,MATCH(RANK(S6,S$6:S$19),$E$42:$E$55,0)))</f>
        <v/>
      </c>
      <c r="T25" s="76">
        <f>IF(ISERROR(INDEX($F$42:$F$55,MATCH(RANK(T6,T$6:T$19),$E$42:$E$55,0))),0,INDEX($F$42:$F$55,MATCH(RANK(T6,T$6:T$19),$E$42:$E$55,0)))</f>
        <v/>
      </c>
      <c r="U25" s="77">
        <f>IF(ISERROR(INDEX($F$42:$F$55,MATCH(RANK(U6,U$6:U$19),$E$42:$E$55,0))),0,INDEX($F$42:$F$55,MATCH(RANK(U6,U$6:U$19),$E$42:$E$55,0)))</f>
        <v/>
      </c>
      <c r="V25" s="78">
        <f>SUM(E25:U25)</f>
        <v/>
      </c>
      <c r="W25" s="63">
        <f>RANK(V25,$V$25:$V$38)</f>
        <v/>
      </c>
      <c r="X25" s="63">
        <f>COUNTIF(E25:T25,"=-65")</f>
        <v/>
      </c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16.5" customHeight="1" s="164">
      <c r="A26" s="1" t="n"/>
      <c r="B26" s="1" t="n"/>
      <c r="C26" s="1">
        <f>C7</f>
        <v/>
      </c>
      <c r="D26" s="1">
        <f>D7</f>
        <v/>
      </c>
      <c r="E26" s="76">
        <f>IF(ISERROR(INDEX($F$42:$F$55,MATCH(RANK(E7,E$6:E$19),$E$42:$E$55,0))),0,INDEX($F$42:$F$55,MATCH(RANK(E7,E$6:E$19),$E$42:$E$55,0)))</f>
        <v/>
      </c>
      <c r="F26" s="76">
        <f>IF(ISERROR(INDEX($F$42:$F$55,MATCH(RANK(F7,F$6:F$19),$E$42:$E$55,0))),0,INDEX($F$42:$F$55,MATCH(RANK(F7,F$6:F$19),$E$42:$E$55,0)))</f>
        <v/>
      </c>
      <c r="G26" s="76">
        <f>IF(ISERROR(INDEX($F$42:$F$55,MATCH(RANK(G7,G$6:G$19),$E$42:$E$55,0))),0,INDEX($F$42:$F$55,MATCH(RANK(G7,G$6:G$19),$E$42:$E$55,0)))</f>
        <v/>
      </c>
      <c r="H26" s="76">
        <f>IF(ISERROR(INDEX($F$42:$F$55,MATCH(RANK(H7,H$6:H$19),$E$42:$E$55,0))),0,INDEX($F$42:$F$55,MATCH(RANK(H7,H$6:H$19),$E$42:$E$55,0)))</f>
        <v/>
      </c>
      <c r="I26" s="76">
        <f>IF(ISERROR(INDEX($F$42:$F$55,MATCH(RANK(I7,I$6:I$19),$E$42:$E$55,0))),0,INDEX($F$42:$F$55,MATCH(RANK(I7,I$6:I$19),$E$42:$E$55,0)))</f>
        <v/>
      </c>
      <c r="J26" s="76">
        <f>IF(ISERROR(INDEX($F$42:$F$55,MATCH(RANK(J7,J$6:J$19),$E$42:$E$55,0))),0,INDEX($F$42:$F$55,MATCH(RANK(J7,J$6:J$19),$E$42:$E$55,0)))</f>
        <v/>
      </c>
      <c r="K26" s="76">
        <f>IF(ISERROR(INDEX($F$42:$F$55,MATCH(RANK(K7,K$6:K$19),$E$42:$E$55,0))),0,INDEX($F$42:$F$55,MATCH(RANK(K7,K$6:K$19),$E$42:$E$55,0)))</f>
        <v/>
      </c>
      <c r="L26" s="76">
        <f>IF(ISERROR(INDEX($F$42:$F$55,MATCH(RANK(L7,L$6:L$19),$E$42:$E$55,0))),0,INDEX($F$42:$F$55,MATCH(RANK(L7,L$6:L$19),$E$42:$E$55,0)))</f>
        <v/>
      </c>
      <c r="M26" s="76">
        <f>IF(ISERROR(INDEX($F$42:$F$55,MATCH(RANK(M7,M$6:M$19),$E$42:$E$55,0))),0,INDEX($F$42:$F$55,MATCH(RANK(M7,M$6:M$19),$E$42:$E$55,0)))</f>
        <v/>
      </c>
      <c r="N26" s="76">
        <f>IF(ISERROR(INDEX($F$42:$F$55,MATCH(RANK(N7,N$6:N$19),$E$42:$E$55,0))),0,INDEX($F$42:$F$55,MATCH(RANK(N7,N$6:N$19),$E$42:$E$55,0)))</f>
        <v/>
      </c>
      <c r="O26" s="76">
        <f>IF(ISERROR(INDEX($F$42:$F$55,MATCH(RANK(O7,O$6:O$19),$E$42:$E$55,0))),0,INDEX($F$42:$F$55,MATCH(RANK(O7,O$6:O$19),$E$42:$E$55,0)))</f>
        <v/>
      </c>
      <c r="P26" s="76">
        <f>IF(ISERROR(INDEX($F$42:$F$55,MATCH(RANK(P7,P$6:P$19),$E$42:$E$55,0))),0,INDEX($F$42:$F$55,MATCH(RANK(P7,P$6:P$19),$E$42:$E$55,0)))</f>
        <v/>
      </c>
      <c r="Q26" s="76">
        <f>IF(ISERROR(INDEX($F$42:$F$55,MATCH(RANK(Q7,Q$6:Q$19),$E$42:$E$55,0))),0,INDEX($F$42:$F$55,MATCH(RANK(Q7,Q$6:Q$19),$E$42:$E$55,0)))</f>
        <v/>
      </c>
      <c r="R26" s="76">
        <f>IF(ISERROR(INDEX($F$42:$F$55,MATCH(RANK(R7,R$6:R$19),$E$42:$E$55,0))),0,INDEX($F$42:$F$55,MATCH(RANK(R7,R$6:R$19),$E$42:$E$55,0)))</f>
        <v/>
      </c>
      <c r="S26" s="76">
        <f>IF(ISERROR(INDEX($F$42:$F$55,MATCH(RANK(S7,S$6:S$19),$E$42:$E$55,0))),0,INDEX($F$42:$F$55,MATCH(RANK(S7,S$6:S$19),$E$42:$E$55,0)))</f>
        <v/>
      </c>
      <c r="T26" s="76">
        <f>IF(ISERROR(INDEX($F$42:$F$55,MATCH(RANK(T7,T$6:T$19),$E$42:$E$55,0))),0,INDEX($F$42:$F$55,MATCH(RANK(T7,T$6:T$19),$E$42:$E$55,0)))</f>
        <v/>
      </c>
      <c r="U26" s="77">
        <f>IF(ISERROR(INDEX($F$42:$F$55,MATCH(RANK(U7,U$6:U$19),$E$42:$E$55,0))),0,INDEX($F$42:$F$55,MATCH(RANK(U7,U$6:U$19),$E$42:$E$55,0)))</f>
        <v/>
      </c>
      <c r="V26" s="78">
        <f>SUM(E26:U26)</f>
        <v/>
      </c>
      <c r="W26" s="63">
        <f>RANK(V26,$V$25:$V$38)</f>
        <v/>
      </c>
      <c r="X26" s="63">
        <f>COUNTIF(E26:T26,"=-65")</f>
        <v/>
      </c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 ht="16.5" customHeight="1" s="164">
      <c r="A27" s="1" t="n"/>
      <c r="B27" s="1" t="n"/>
      <c r="C27" s="1">
        <f>C8</f>
        <v/>
      </c>
      <c r="D27" s="1">
        <f>D8</f>
        <v/>
      </c>
      <c r="E27" s="76">
        <f>IF(ISERROR(INDEX($F$42:$F$55,MATCH(RANK(E8,E$6:E$19),$E$42:$E$55,0))),0,INDEX($F$42:$F$55,MATCH(RANK(E8,E$6:E$19),$E$42:$E$55,0)))</f>
        <v/>
      </c>
      <c r="F27" s="76">
        <f>IF(ISERROR(INDEX($F$42:$F$55,MATCH(RANK(F8,F$6:F$19),$E$42:$E$55,0))),0,INDEX($F$42:$F$55,MATCH(RANK(F8,F$6:F$19),$E$42:$E$55,0)))</f>
        <v/>
      </c>
      <c r="G27" s="76">
        <f>IF(ISERROR(INDEX($F$42:$F$55,MATCH(RANK(G8,G$6:G$19),$E$42:$E$55,0))),0,INDEX($F$42:$F$55,MATCH(RANK(G8,G$6:G$19),$E$42:$E$55,0)))</f>
        <v/>
      </c>
      <c r="H27" s="76">
        <f>IF(ISERROR(INDEX($F$42:$F$55,MATCH(RANK(H8,H$6:H$19),$E$42:$E$55,0))),0,INDEX($F$42:$F$55,MATCH(RANK(H8,H$6:H$19),$E$42:$E$55,0)))</f>
        <v/>
      </c>
      <c r="I27" s="76">
        <f>IF(ISERROR(INDEX($F$42:$F$55,MATCH(RANK(I8,I$6:I$19),$E$42:$E$55,0))),0,INDEX($F$42:$F$55,MATCH(RANK(I8,I$6:I$19),$E$42:$E$55,0)))</f>
        <v/>
      </c>
      <c r="J27" s="76">
        <f>IF(ISERROR(INDEX($F$42:$F$55,MATCH(RANK(J8,J$6:J$19),$E$42:$E$55,0))),0,INDEX($F$42:$F$55,MATCH(RANK(J8,J$6:J$19),$E$42:$E$55,0)))</f>
        <v/>
      </c>
      <c r="K27" s="76">
        <f>IF(ISERROR(INDEX($F$42:$F$55,MATCH(RANK(K8,K$6:K$19),$E$42:$E$55,0))),0,INDEX($F$42:$F$55,MATCH(RANK(K8,K$6:K$19),$E$42:$E$55,0)))</f>
        <v/>
      </c>
      <c r="L27" s="76">
        <f>IF(ISERROR(INDEX($F$42:$F$55,MATCH(RANK(L8,L$6:L$19),$E$42:$E$55,0))),0,INDEX($F$42:$F$55,MATCH(RANK(L8,L$6:L$19),$E$42:$E$55,0)))</f>
        <v/>
      </c>
      <c r="M27" s="76">
        <f>IF(ISERROR(INDEX($F$42:$F$55,MATCH(RANK(M8,M$6:M$19),$E$42:$E$55,0))),0,INDEX($F$42:$F$55,MATCH(RANK(M8,M$6:M$19),$E$42:$E$55,0)))</f>
        <v/>
      </c>
      <c r="N27" s="76">
        <f>IF(ISERROR(INDEX($F$42:$F$55,MATCH(RANK(N8,N$6:N$19),$E$42:$E$55,0))),0,INDEX($F$42:$F$55,MATCH(RANK(N8,N$6:N$19),$E$42:$E$55,0)))</f>
        <v/>
      </c>
      <c r="O27" s="76">
        <f>IF(ISERROR(INDEX($F$42:$F$55,MATCH(RANK(O8,O$6:O$19),$E$42:$E$55,0))),0,INDEX($F$42:$F$55,MATCH(RANK(O8,O$6:O$19),$E$42:$E$55,0)))</f>
        <v/>
      </c>
      <c r="P27" s="76">
        <f>IF(ISERROR(INDEX($F$42:$F$55,MATCH(RANK(P8,P$6:P$19),$E$42:$E$55,0))),0,INDEX($F$42:$F$55,MATCH(RANK(P8,P$6:P$19),$E$42:$E$55,0)))</f>
        <v/>
      </c>
      <c r="Q27" s="76">
        <f>IF(ISERROR(INDEX($F$42:$F$55,MATCH(RANK(Q8,Q$6:Q$19),$E$42:$E$55,0))),0,INDEX($F$42:$F$55,MATCH(RANK(Q8,Q$6:Q$19),$E$42:$E$55,0)))</f>
        <v/>
      </c>
      <c r="R27" s="76">
        <f>IF(ISERROR(INDEX($F$42:$F$55,MATCH(RANK(R8,R$6:R$19),$E$42:$E$55,0))),0,INDEX($F$42:$F$55,MATCH(RANK(R8,R$6:R$19),$E$42:$E$55,0)))</f>
        <v/>
      </c>
      <c r="S27" s="76">
        <f>IF(ISERROR(INDEX($F$42:$F$55,MATCH(RANK(S8,S$6:S$19),$E$42:$E$55,0))),0,INDEX($F$42:$F$55,MATCH(RANK(S8,S$6:S$19),$E$42:$E$55,0)))</f>
        <v/>
      </c>
      <c r="T27" s="76">
        <f>IF(ISERROR(INDEX($F$42:$F$55,MATCH(RANK(T8,T$6:T$19),$E$42:$E$55,0))),0,INDEX($F$42:$F$55,MATCH(RANK(T8,T$6:T$19),$E$42:$E$55,0)))</f>
        <v/>
      </c>
      <c r="U27" s="77">
        <f>IF(ISERROR(INDEX($F$42:$F$55,MATCH(RANK(U8,U$6:U$19),$E$42:$E$55,0))),0,INDEX($F$42:$F$55,MATCH(RANK(U8,U$6:U$19),$E$42:$E$55,0)))</f>
        <v/>
      </c>
      <c r="V27" s="78">
        <f>SUM(E27:U27)</f>
        <v/>
      </c>
      <c r="W27" s="63">
        <f>RANK(V27,$V$25:$V$38)</f>
        <v/>
      </c>
      <c r="X27" s="63">
        <f>COUNTIF(E27:T27,"=-65")</f>
        <v/>
      </c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16.5" customHeight="1" s="164">
      <c r="A28" s="1" t="n"/>
      <c r="B28" s="1" t="n"/>
      <c r="C28" s="1">
        <f>C9</f>
        <v/>
      </c>
      <c r="D28" s="1">
        <f>D9</f>
        <v/>
      </c>
      <c r="E28" s="76">
        <f>IF(ISERROR(INDEX($F$42:$F$55,MATCH(RANK(E9,E$6:E$19),$E$42:$E$55,0))),0,INDEX($F$42:$F$55,MATCH(RANK(E9,E$6:E$19),$E$42:$E$55,0)))</f>
        <v/>
      </c>
      <c r="F28" s="76">
        <f>IF(ISERROR(INDEX($F$42:$F$55,MATCH(RANK(F9,F$6:F$19),$E$42:$E$55,0))),0,INDEX($F$42:$F$55,MATCH(RANK(F9,F$6:F$19),$E$42:$E$55,0)))</f>
        <v/>
      </c>
      <c r="G28" s="76">
        <f>IF(ISERROR(INDEX($F$42:$F$55,MATCH(RANK(G9,G$6:G$19),$E$42:$E$55,0))),0,INDEX($F$42:$F$55,MATCH(RANK(G9,G$6:G$19),$E$42:$E$55,0)))</f>
        <v/>
      </c>
      <c r="H28" s="76">
        <f>IF(ISERROR(INDEX($F$42:$F$55,MATCH(RANK(H9,H$6:H$19),$E$42:$E$55,0))),0,INDEX($F$42:$F$55,MATCH(RANK(H9,H$6:H$19),$E$42:$E$55,0)))</f>
        <v/>
      </c>
      <c r="I28" s="76">
        <f>IF(ISERROR(INDEX($F$42:$F$55,MATCH(RANK(I9,I$6:I$19),$E$42:$E$55,0))),0,INDEX($F$42:$F$55,MATCH(RANK(I9,I$6:I$19),$E$42:$E$55,0)))</f>
        <v/>
      </c>
      <c r="J28" s="76">
        <f>IF(ISERROR(INDEX($F$42:$F$55,MATCH(RANK(J9,J$6:J$19),$E$42:$E$55,0))),0,INDEX($F$42:$F$55,MATCH(RANK(J9,J$6:J$19),$E$42:$E$55,0)))</f>
        <v/>
      </c>
      <c r="K28" s="76">
        <f>IF(ISERROR(INDEX($F$42:$F$55,MATCH(RANK(K9,K$6:K$19),$E$42:$E$55,0))),0,INDEX($F$42:$F$55,MATCH(RANK(K9,K$6:K$19),$E$42:$E$55,0)))</f>
        <v/>
      </c>
      <c r="L28" s="76">
        <f>IF(ISERROR(INDEX($F$42:$F$55,MATCH(RANK(L9,L$6:L$19),$E$42:$E$55,0))),0,INDEX($F$42:$F$55,MATCH(RANK(L9,L$6:L$19),$E$42:$E$55,0)))</f>
        <v/>
      </c>
      <c r="M28" s="76">
        <f>IF(ISERROR(INDEX($F$42:$F$55,MATCH(RANK(M9,M$6:M$19),$E$42:$E$55,0))),0,INDEX($F$42:$F$55,MATCH(RANK(M9,M$6:M$19),$E$42:$E$55,0)))</f>
        <v/>
      </c>
      <c r="N28" s="76">
        <f>IF(ISERROR(INDEX($F$42:$F$55,MATCH(RANK(N9,N$6:N$19),$E$42:$E$55,0))),0,INDEX($F$42:$F$55,MATCH(RANK(N9,N$6:N$19),$E$42:$E$55,0)))</f>
        <v/>
      </c>
      <c r="O28" s="76">
        <f>IF(ISERROR(INDEX($F$42:$F$55,MATCH(RANK(O9,O$6:O$19),$E$42:$E$55,0))),0,INDEX($F$42:$F$55,MATCH(RANK(O9,O$6:O$19),$E$42:$E$55,0)))</f>
        <v/>
      </c>
      <c r="P28" s="76">
        <f>IF(ISERROR(INDEX($F$42:$F$55,MATCH(RANK(P9,P$6:P$19),$E$42:$E$55,0))),0,INDEX($F$42:$F$55,MATCH(RANK(P9,P$6:P$19),$E$42:$E$55,0)))</f>
        <v/>
      </c>
      <c r="Q28" s="76">
        <f>IF(ISERROR(INDEX($F$42:$F$55,MATCH(RANK(Q9,Q$6:Q$19),$E$42:$E$55,0))),0,INDEX($F$42:$F$55,MATCH(RANK(Q9,Q$6:Q$19),$E$42:$E$55,0)))</f>
        <v/>
      </c>
      <c r="R28" s="76">
        <f>IF(ISERROR(INDEX($F$42:$F$55,MATCH(RANK(R9,R$6:R$19),$E$42:$E$55,0))),0,INDEX($F$42:$F$55,MATCH(RANK(R9,R$6:R$19),$E$42:$E$55,0)))</f>
        <v/>
      </c>
      <c r="S28" s="76">
        <f>IF(ISERROR(INDEX($F$42:$F$55,MATCH(RANK(S9,S$6:S$19),$E$42:$E$55,0))),0,INDEX($F$42:$F$55,MATCH(RANK(S9,S$6:S$19),$E$42:$E$55,0)))</f>
        <v/>
      </c>
      <c r="T28" s="76">
        <f>IF(ISERROR(INDEX($F$42:$F$55,MATCH(RANK(T9,T$6:T$19),$E$42:$E$55,0))),0,INDEX($F$42:$F$55,MATCH(RANK(T9,T$6:T$19),$E$42:$E$55,0)))</f>
        <v/>
      </c>
      <c r="U28" s="77">
        <f>IF(ISERROR(INDEX($F$42:$F$55,MATCH(RANK(U9,U$6:U$19),$E$42:$E$55,0))),0,INDEX($F$42:$F$55,MATCH(RANK(U9,U$6:U$19),$E$42:$E$55,0)))</f>
        <v/>
      </c>
      <c r="V28" s="78">
        <f>SUM(E28:U28)</f>
        <v/>
      </c>
      <c r="W28" s="63">
        <f>RANK(V28,$V$25:$V$38)</f>
        <v/>
      </c>
      <c r="X28" s="63">
        <f>COUNTIF(E28:T28,"=-65")</f>
        <v/>
      </c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 ht="16.5" customHeight="1" s="164">
      <c r="A29" s="1" t="n"/>
      <c r="B29" s="1" t="n"/>
      <c r="C29" s="1">
        <f>C10</f>
        <v/>
      </c>
      <c r="D29" s="1">
        <f>D10</f>
        <v/>
      </c>
      <c r="E29" s="76">
        <f>IF(ISERROR(INDEX($F$42:$F$55,MATCH(RANK(E10,E$6:E$19),$E$42:$E$55,0))),0,INDEX($F$42:$F$55,MATCH(RANK(E10,E$6:E$19),$E$42:$E$55,0)))</f>
        <v/>
      </c>
      <c r="F29" s="76">
        <f>IF(ISERROR(INDEX($F$42:$F$55,MATCH(RANK(F10,F$6:F$19),$E$42:$E$55,0))),0,INDEX($F$42:$F$55,MATCH(RANK(F10,F$6:F$19),$E$42:$E$55,0)))</f>
        <v/>
      </c>
      <c r="G29" s="76">
        <f>IF(ISERROR(INDEX($F$42:$F$55,MATCH(RANK(G10,G$6:G$19),$E$42:$E$55,0))),0,INDEX($F$42:$F$55,MATCH(RANK(G10,G$6:G$19),$E$42:$E$55,0)))</f>
        <v/>
      </c>
      <c r="H29" s="76">
        <f>IF(ISERROR(INDEX($F$42:$F$55,MATCH(RANK(H10,H$6:H$19),$E$42:$E$55,0))),0,INDEX($F$42:$F$55,MATCH(RANK(H10,H$6:H$19),$E$42:$E$55,0)))</f>
        <v/>
      </c>
      <c r="I29" s="76">
        <f>IF(ISERROR(INDEX($F$42:$F$55,MATCH(RANK(I10,I$6:I$19),$E$42:$E$55,0))),0,INDEX($F$42:$F$55,MATCH(RANK(I10,I$6:I$19),$E$42:$E$55,0)))</f>
        <v/>
      </c>
      <c r="J29" s="76">
        <f>IF(ISERROR(INDEX($F$42:$F$55,MATCH(RANK(J10,J$6:J$19),$E$42:$E$55,0))),0,INDEX($F$42:$F$55,MATCH(RANK(J10,J$6:J$19),$E$42:$E$55,0)))</f>
        <v/>
      </c>
      <c r="K29" s="76">
        <f>IF(ISERROR(INDEX($F$42:$F$55,MATCH(RANK(K10,K$6:K$19),$E$42:$E$55,0))),0,INDEX($F$42:$F$55,MATCH(RANK(K10,K$6:K$19),$E$42:$E$55,0)))</f>
        <v/>
      </c>
      <c r="L29" s="76">
        <f>IF(ISERROR(INDEX($F$42:$F$55,MATCH(RANK(L10,L$6:L$19),$E$42:$E$55,0))),0,INDEX($F$42:$F$55,MATCH(RANK(L10,L$6:L$19),$E$42:$E$55,0)))</f>
        <v/>
      </c>
      <c r="M29" s="76">
        <f>IF(ISERROR(INDEX($F$42:$F$55,MATCH(RANK(M10,M$6:M$19),$E$42:$E$55,0))),0,INDEX($F$42:$F$55,MATCH(RANK(M10,M$6:M$19),$E$42:$E$55,0)))</f>
        <v/>
      </c>
      <c r="N29" s="76">
        <f>IF(ISERROR(INDEX($F$42:$F$55,MATCH(RANK(N10,N$6:N$19),$E$42:$E$55,0))),0,INDEX($F$42:$F$55,MATCH(RANK(N10,N$6:N$19),$E$42:$E$55,0)))</f>
        <v/>
      </c>
      <c r="O29" s="76">
        <f>IF(ISERROR(INDEX($F$42:$F$55,MATCH(RANK(O10,O$6:O$19),$E$42:$E$55,0))),0,INDEX($F$42:$F$55,MATCH(RANK(O10,O$6:O$19),$E$42:$E$55,0)))</f>
        <v/>
      </c>
      <c r="P29" s="76">
        <f>IF(ISERROR(INDEX($F$42:$F$55,MATCH(RANK(P10,P$6:P$19),$E$42:$E$55,0))),0,INDEX($F$42:$F$55,MATCH(RANK(P10,P$6:P$19),$E$42:$E$55,0)))</f>
        <v/>
      </c>
      <c r="Q29" s="76">
        <f>IF(ISERROR(INDEX($F$42:$F$55,MATCH(RANK(Q10,Q$6:Q$19),$E$42:$E$55,0))),0,INDEX($F$42:$F$55,MATCH(RANK(Q10,Q$6:Q$19),$E$42:$E$55,0)))</f>
        <v/>
      </c>
      <c r="R29" s="76">
        <f>IF(ISERROR(INDEX($F$42:$F$55,MATCH(RANK(R10,R$6:R$19),$E$42:$E$55,0))),0,INDEX($F$42:$F$55,MATCH(RANK(R10,R$6:R$19),$E$42:$E$55,0)))</f>
        <v/>
      </c>
      <c r="S29" s="76">
        <f>IF(ISERROR(INDEX($F$42:$F$55,MATCH(RANK(S10,S$6:S$19),$E$42:$E$55,0))),0,INDEX($F$42:$F$55,MATCH(RANK(S10,S$6:S$19),$E$42:$E$55,0)))</f>
        <v/>
      </c>
      <c r="T29" s="76">
        <f>IF(ISERROR(INDEX($F$42:$F$55,MATCH(RANK(T10,T$6:T$19),$E$42:$E$55,0))),0,INDEX($F$42:$F$55,MATCH(RANK(T10,T$6:T$19),$E$42:$E$55,0)))</f>
        <v/>
      </c>
      <c r="U29" s="77">
        <f>IF(ISERROR(INDEX($F$42:$F$55,MATCH(RANK(U10,U$6:U$19),$E$42:$E$55,0))),0,INDEX($F$42:$F$55,MATCH(RANK(U10,U$6:U$19),$E$42:$E$55,0)))</f>
        <v/>
      </c>
      <c r="V29" s="78">
        <f>SUM(E29:U29)</f>
        <v/>
      </c>
      <c r="W29" s="63">
        <f>RANK(V29,$V$25:$V$38)</f>
        <v/>
      </c>
      <c r="X29" s="63">
        <f>COUNTIF(E29:T29,"=-65")</f>
        <v/>
      </c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16.5" customHeight="1" s="164">
      <c r="A30" s="1" t="n"/>
      <c r="B30" s="1" t="n"/>
      <c r="C30" s="1">
        <f>C11</f>
        <v/>
      </c>
      <c r="D30" s="1">
        <f>D11</f>
        <v/>
      </c>
      <c r="E30" s="76">
        <f>IF(ISERROR(INDEX($F$42:$F$55,MATCH(RANK(E11,E$6:E$19),$E$42:$E$55,0))),0,INDEX($F$42:$F$55,MATCH(RANK(E11,E$6:E$19),$E$42:$E$55,0)))</f>
        <v/>
      </c>
      <c r="F30" s="76">
        <f>IF(ISERROR(INDEX($F$42:$F$55,MATCH(RANK(F11,F$6:F$19),$E$42:$E$55,0))),0,INDEX($F$42:$F$55,MATCH(RANK(F11,F$6:F$19),$E$42:$E$55,0)))</f>
        <v/>
      </c>
      <c r="G30" s="76">
        <f>IF(ISERROR(INDEX($F$42:$F$55,MATCH(RANK(G11,G$6:G$19),$E$42:$E$55,0))),0,INDEX($F$42:$F$55,MATCH(RANK(G11,G$6:G$19),$E$42:$E$55,0)))</f>
        <v/>
      </c>
      <c r="H30" s="76">
        <f>IF(ISERROR(INDEX($F$42:$F$55,MATCH(RANK(H11,H$6:H$19),$E$42:$E$55,0))),0,INDEX($F$42:$F$55,MATCH(RANK(H11,H$6:H$19),$E$42:$E$55,0)))</f>
        <v/>
      </c>
      <c r="I30" s="76">
        <f>IF(ISERROR(INDEX($F$42:$F$55,MATCH(RANK(I11,I$6:I$19),$E$42:$E$55,0))),0,INDEX($F$42:$F$55,MATCH(RANK(I11,I$6:I$19),$E$42:$E$55,0)))</f>
        <v/>
      </c>
      <c r="J30" s="76">
        <f>IF(ISERROR(INDEX($F$42:$F$55,MATCH(RANK(J11,J$6:J$19),$E$42:$E$55,0))),0,INDEX($F$42:$F$55,MATCH(RANK(J11,J$6:J$19),$E$42:$E$55,0)))</f>
        <v/>
      </c>
      <c r="K30" s="76">
        <f>IF(ISERROR(INDEX($F$42:$F$55,MATCH(RANK(K11,K$6:K$19),$E$42:$E$55,0))),0,INDEX($F$42:$F$55,MATCH(RANK(K11,K$6:K$19),$E$42:$E$55,0)))</f>
        <v/>
      </c>
      <c r="L30" s="76">
        <f>IF(ISERROR(INDEX($F$42:$F$55,MATCH(RANK(L11,L$6:L$19),$E$42:$E$55,0))),0,INDEX($F$42:$F$55,MATCH(RANK(L11,L$6:L$19),$E$42:$E$55,0)))</f>
        <v/>
      </c>
      <c r="M30" s="76">
        <f>IF(ISERROR(INDEX($F$42:$F$55,MATCH(RANK(M11,M$6:M$19),$E$42:$E$55,0))),0,INDEX($F$42:$F$55,MATCH(RANK(M11,M$6:M$19),$E$42:$E$55,0)))</f>
        <v/>
      </c>
      <c r="N30" s="76">
        <f>IF(ISERROR(INDEX($F$42:$F$55,MATCH(RANK(N11,N$6:N$19),$E$42:$E$55,0))),0,INDEX($F$42:$F$55,MATCH(RANK(N11,N$6:N$19),$E$42:$E$55,0)))</f>
        <v/>
      </c>
      <c r="O30" s="76">
        <f>IF(ISERROR(INDEX($F$42:$F$55,MATCH(RANK(O11,O$6:O$19),$E$42:$E$55,0))),0,INDEX($F$42:$F$55,MATCH(RANK(O11,O$6:O$19),$E$42:$E$55,0)))</f>
        <v/>
      </c>
      <c r="P30" s="76">
        <f>IF(ISERROR(INDEX($F$42:$F$55,MATCH(RANK(P11,P$6:P$19),$E$42:$E$55,0))),0,INDEX($F$42:$F$55,MATCH(RANK(P11,P$6:P$19),$E$42:$E$55,0)))</f>
        <v/>
      </c>
      <c r="Q30" s="76">
        <f>IF(ISERROR(INDEX($F$42:$F$55,MATCH(RANK(Q11,Q$6:Q$19),$E$42:$E$55,0))),0,INDEX($F$42:$F$55,MATCH(RANK(Q11,Q$6:Q$19),$E$42:$E$55,0)))</f>
        <v/>
      </c>
      <c r="R30" s="76">
        <f>IF(ISERROR(INDEX($F$42:$F$55,MATCH(RANK(R11,R$6:R$19),$E$42:$E$55,0))),0,INDEX($F$42:$F$55,MATCH(RANK(R11,R$6:R$19),$E$42:$E$55,0)))</f>
        <v/>
      </c>
      <c r="S30" s="76">
        <f>IF(ISERROR(INDEX($F$42:$F$55,MATCH(RANK(S11,S$6:S$19),$E$42:$E$55,0))),0,INDEX($F$42:$F$55,MATCH(RANK(S11,S$6:S$19),$E$42:$E$55,0)))</f>
        <v/>
      </c>
      <c r="T30" s="76">
        <f>IF(ISERROR(INDEX($F$42:$F$55,MATCH(RANK(T11,T$6:T$19),$E$42:$E$55,0))),0,INDEX($F$42:$F$55,MATCH(RANK(T11,T$6:T$19),$E$42:$E$55,0)))</f>
        <v/>
      </c>
      <c r="U30" s="77">
        <f>IF(ISERROR(INDEX($F$42:$F$55,MATCH(RANK(U11,U$6:U$19),$E$42:$E$55,0))),0,INDEX($F$42:$F$55,MATCH(RANK(U11,U$6:U$19),$E$42:$E$55,0)))</f>
        <v/>
      </c>
      <c r="V30" s="78">
        <f>SUM(E30:U30)</f>
        <v/>
      </c>
      <c r="W30" s="63">
        <f>RANK(V30,$V$25:$V$38)</f>
        <v/>
      </c>
      <c r="X30" s="63">
        <f>COUNTIF(E30:T30,"=-65")</f>
        <v/>
      </c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  <row r="31" ht="16.5" customHeight="1" s="164">
      <c r="A31" s="1" t="n"/>
      <c r="B31" s="1" t="n"/>
      <c r="C31" s="1">
        <f>C12</f>
        <v/>
      </c>
      <c r="D31" s="1">
        <f>D12</f>
        <v/>
      </c>
      <c r="E31" s="76">
        <f>IF(ISERROR(INDEX($F$42:$F$55,MATCH(RANK(E12,E$6:E$19),$E$42:$E$55,0))),0,INDEX($F$42:$F$55,MATCH(RANK(E12,E$6:E$19),$E$42:$E$55,0)))</f>
        <v/>
      </c>
      <c r="F31" s="76">
        <f>IF(ISERROR(INDEX($F$42:$F$55,MATCH(RANK(F12,F$6:F$19),$E$42:$E$55,0))),0,INDEX($F$42:$F$55,MATCH(RANK(F12,F$6:F$19),$E$42:$E$55,0)))</f>
        <v/>
      </c>
      <c r="G31" s="76">
        <f>IF(ISERROR(INDEX($F$42:$F$55,MATCH(RANK(G12,G$6:G$19),$E$42:$E$55,0))),0,INDEX($F$42:$F$55,MATCH(RANK(G12,G$6:G$19),$E$42:$E$55,0)))</f>
        <v/>
      </c>
      <c r="H31" s="76">
        <f>IF(ISERROR(INDEX($F$42:$F$55,MATCH(RANK(H12,H$6:H$19),$E$42:$E$55,0))),0,INDEX($F$42:$F$55,MATCH(RANK(H12,H$6:H$19),$E$42:$E$55,0)))</f>
        <v/>
      </c>
      <c r="I31" s="76">
        <f>IF(ISERROR(INDEX($F$42:$F$55,MATCH(RANK(I12,I$6:I$19),$E$42:$E$55,0))),0,INDEX($F$42:$F$55,MATCH(RANK(I12,I$6:I$19),$E$42:$E$55,0)))</f>
        <v/>
      </c>
      <c r="J31" s="76">
        <f>IF(ISERROR(INDEX($F$42:$F$55,MATCH(RANK(J12,J$6:J$19),$E$42:$E$55,0))),0,INDEX($F$42:$F$55,MATCH(RANK(J12,J$6:J$19),$E$42:$E$55,0)))</f>
        <v/>
      </c>
      <c r="K31" s="76">
        <f>IF(ISERROR(INDEX($F$42:$F$55,MATCH(RANK(K12,K$6:K$19),$E$42:$E$55,0))),0,INDEX($F$42:$F$55,MATCH(RANK(K12,K$6:K$19),$E$42:$E$55,0)))</f>
        <v/>
      </c>
      <c r="L31" s="76">
        <f>IF(ISERROR(INDEX($F$42:$F$55,MATCH(RANK(L12,L$6:L$19),$E$42:$E$55,0))),0,INDEX($F$42:$F$55,MATCH(RANK(L12,L$6:L$19),$E$42:$E$55,0)))</f>
        <v/>
      </c>
      <c r="M31" s="76">
        <f>IF(ISERROR(INDEX($F$42:$F$55,MATCH(RANK(M12,M$6:M$19),$E$42:$E$55,0))),0,INDEX($F$42:$F$55,MATCH(RANK(M12,M$6:M$19),$E$42:$E$55,0)))</f>
        <v/>
      </c>
      <c r="N31" s="76">
        <f>IF(ISERROR(INDEX($F$42:$F$55,MATCH(RANK(N12,N$6:N$19),$E$42:$E$55,0))),0,INDEX($F$42:$F$55,MATCH(RANK(N12,N$6:N$19),$E$42:$E$55,0)))</f>
        <v/>
      </c>
      <c r="O31" s="76">
        <f>IF(ISERROR(INDEX($F$42:$F$55,MATCH(RANK(O12,O$6:O$19),$E$42:$E$55,0))),0,INDEX($F$42:$F$55,MATCH(RANK(O12,O$6:O$19),$E$42:$E$55,0)))</f>
        <v/>
      </c>
      <c r="P31" s="76">
        <f>IF(ISERROR(INDEX($F$42:$F$55,MATCH(RANK(P12,P$6:P$19),$E$42:$E$55,0))),0,INDEX($F$42:$F$55,MATCH(RANK(P12,P$6:P$19),$E$42:$E$55,0)))</f>
        <v/>
      </c>
      <c r="Q31" s="76">
        <f>IF(ISERROR(INDEX($F$42:$F$55,MATCH(RANK(Q12,Q$6:Q$19),$E$42:$E$55,0))),0,INDEX($F$42:$F$55,MATCH(RANK(Q12,Q$6:Q$19),$E$42:$E$55,0)))</f>
        <v/>
      </c>
      <c r="R31" s="76">
        <f>IF(ISERROR(INDEX($F$42:$F$55,MATCH(RANK(R12,R$6:R$19),$E$42:$E$55,0))),0,INDEX($F$42:$F$55,MATCH(RANK(R12,R$6:R$19),$E$42:$E$55,0)))</f>
        <v/>
      </c>
      <c r="S31" s="76">
        <f>IF(ISERROR(INDEX($F$42:$F$55,MATCH(RANK(S12,S$6:S$19),$E$42:$E$55,0))),0,INDEX($F$42:$F$55,MATCH(RANK(S12,S$6:S$19),$E$42:$E$55,0)))</f>
        <v/>
      </c>
      <c r="T31" s="76">
        <f>IF(ISERROR(INDEX($F$42:$F$55,MATCH(RANK(T12,T$6:T$19),$E$42:$E$55,0))),0,INDEX($F$42:$F$55,MATCH(RANK(T12,T$6:T$19),$E$42:$E$55,0)))</f>
        <v/>
      </c>
      <c r="U31" s="77">
        <f>IF(ISERROR(INDEX($F$42:$F$55,MATCH(RANK(U12,U$6:U$19),$E$42:$E$55,0))),0,INDEX($F$42:$F$55,MATCH(RANK(U12,U$6:U$19),$E$42:$E$55,0)))</f>
        <v/>
      </c>
      <c r="V31" s="78">
        <f>SUM(E31:U31)</f>
        <v/>
      </c>
      <c r="W31" s="63">
        <f>RANK(V31,$V$25:$V$38)</f>
        <v/>
      </c>
      <c r="X31" s="63">
        <f>COUNTIF(E31:T31,"=-65")</f>
        <v/>
      </c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 ht="16.5" customHeight="1" s="164">
      <c r="A32" s="1" t="n"/>
      <c r="B32" s="1" t="n"/>
      <c r="C32" s="1">
        <f>C13</f>
        <v/>
      </c>
      <c r="D32" s="1">
        <f>D13</f>
        <v/>
      </c>
      <c r="E32" s="76">
        <f>IF(ISERROR(INDEX($F$42:$F$55,MATCH(RANK(E13,E$6:E$19),$E$42:$E$55,0))),0,INDEX($F$42:$F$55,MATCH(RANK(E13,E$6:E$19),$E$42:$E$55,0)))</f>
        <v/>
      </c>
      <c r="F32" s="76">
        <f>IF(ISERROR(INDEX($F$42:$F$55,MATCH(RANK(F13,F$6:F$19),$E$42:$E$55,0))),0,INDEX($F$42:$F$55,MATCH(RANK(F13,F$6:F$19),$E$42:$E$55,0)))</f>
        <v/>
      </c>
      <c r="G32" s="76">
        <f>IF(ISERROR(INDEX($F$42:$F$55,MATCH(RANK(G13,G$6:G$19),$E$42:$E$55,0))),0,INDEX($F$42:$F$55,MATCH(RANK(G13,G$6:G$19),$E$42:$E$55,0)))</f>
        <v/>
      </c>
      <c r="H32" s="76">
        <f>IF(ISERROR(INDEX($F$42:$F$55,MATCH(RANK(H13,H$6:H$19),$E$42:$E$55,0))),0,INDEX($F$42:$F$55,MATCH(RANK(H13,H$6:H$19),$E$42:$E$55,0)))</f>
        <v/>
      </c>
      <c r="I32" s="76">
        <f>IF(ISERROR(INDEX($F$42:$F$55,MATCH(RANK(I13,I$6:I$19),$E$42:$E$55,0))),0,INDEX($F$42:$F$55,MATCH(RANK(I13,I$6:I$19),$E$42:$E$55,0)))</f>
        <v/>
      </c>
      <c r="J32" s="76">
        <f>IF(ISERROR(INDEX($F$42:$F$55,MATCH(RANK(J13,J$6:J$19),$E$42:$E$55,0))),0,INDEX($F$42:$F$55,MATCH(RANK(J13,J$6:J$19),$E$42:$E$55,0)))</f>
        <v/>
      </c>
      <c r="K32" s="76">
        <f>IF(ISERROR(INDEX($F$42:$F$55,MATCH(RANK(K13,K$6:K$19),$E$42:$E$55,0))),0,INDEX($F$42:$F$55,MATCH(RANK(K13,K$6:K$19),$E$42:$E$55,0)))</f>
        <v/>
      </c>
      <c r="L32" s="76">
        <f>IF(ISERROR(INDEX($F$42:$F$55,MATCH(RANK(L13,L$6:L$19),$E$42:$E$55,0))),0,INDEX($F$42:$F$55,MATCH(RANK(L13,L$6:L$19),$E$42:$E$55,0)))</f>
        <v/>
      </c>
      <c r="M32" s="76">
        <f>IF(ISERROR(INDEX($F$42:$F$55,MATCH(RANK(M13,M$6:M$19),$E$42:$E$55,0))),0,INDEX($F$42:$F$55,MATCH(RANK(M13,M$6:M$19),$E$42:$E$55,0)))</f>
        <v/>
      </c>
      <c r="N32" s="76">
        <f>IF(ISERROR(INDEX($F$42:$F$55,MATCH(RANK(N13,N$6:N$19),$E$42:$E$55,0))),0,INDEX($F$42:$F$55,MATCH(RANK(N13,N$6:N$19),$E$42:$E$55,0)))</f>
        <v/>
      </c>
      <c r="O32" s="76">
        <f>IF(ISERROR(INDEX($F$42:$F$55,MATCH(RANK(O13,O$6:O$19),$E$42:$E$55,0))),0,INDEX($F$42:$F$55,MATCH(RANK(O13,O$6:O$19),$E$42:$E$55,0)))</f>
        <v/>
      </c>
      <c r="P32" s="76">
        <f>IF(ISERROR(INDEX($F$42:$F$55,MATCH(RANK(P13,P$6:P$19),$E$42:$E$55,0))),0,INDEX($F$42:$F$55,MATCH(RANK(P13,P$6:P$19),$E$42:$E$55,0)))</f>
        <v/>
      </c>
      <c r="Q32" s="76">
        <f>IF(ISERROR(INDEX($F$42:$F$55,MATCH(RANK(Q13,Q$6:Q$19),$E$42:$E$55,0))),0,INDEX($F$42:$F$55,MATCH(RANK(Q13,Q$6:Q$19),$E$42:$E$55,0)))</f>
        <v/>
      </c>
      <c r="R32" s="76">
        <f>IF(ISERROR(INDEX($F$42:$F$55,MATCH(RANK(R13,R$6:R$19),$E$42:$E$55,0))),0,INDEX($F$42:$F$55,MATCH(RANK(R13,R$6:R$19),$E$42:$E$55,0)))</f>
        <v/>
      </c>
      <c r="S32" s="76">
        <f>IF(ISERROR(INDEX($F$42:$F$55,MATCH(RANK(S13,S$6:S$19),$E$42:$E$55,0))),0,INDEX($F$42:$F$55,MATCH(RANK(S13,S$6:S$19),$E$42:$E$55,0)))</f>
        <v/>
      </c>
      <c r="T32" s="76">
        <f>IF(ISERROR(INDEX($F$42:$F$55,MATCH(RANK(T13,T$6:T$19),$E$42:$E$55,0))),0,INDEX($F$42:$F$55,MATCH(RANK(T13,T$6:T$19),$E$42:$E$55,0)))</f>
        <v/>
      </c>
      <c r="U32" s="77">
        <f>IF(ISERROR(INDEX($F$42:$F$55,MATCH(RANK(U13,U$6:U$19),$E$42:$E$55,0))),0,INDEX($F$42:$F$55,MATCH(RANK(U13,U$6:U$19),$E$42:$E$55,0)))</f>
        <v/>
      </c>
      <c r="V32" s="78">
        <f>SUM(E32:U32)</f>
        <v/>
      </c>
      <c r="W32" s="63">
        <f>RANK(V32,$V$25:$V$38)</f>
        <v/>
      </c>
      <c r="X32" s="63">
        <f>COUNTIF(E32:T32,"=-65")</f>
        <v/>
      </c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 ht="16.5" customHeight="1" s="164">
      <c r="A33" s="1" t="n"/>
      <c r="B33" s="1" t="n"/>
      <c r="C33" s="1">
        <f>C14</f>
        <v/>
      </c>
      <c r="D33" s="1">
        <f>D14</f>
        <v/>
      </c>
      <c r="E33" s="76">
        <f>IF(ISERROR(INDEX($F$42:$F$55,MATCH(RANK(E14,E$6:E$19),$E$42:$E$55,0))),0,INDEX($F$42:$F$55,MATCH(RANK(E14,E$6:E$19),$E$42:$E$55,0)))</f>
        <v/>
      </c>
      <c r="F33" s="76">
        <f>IF(ISERROR(INDEX($F$42:$F$55,MATCH(RANK(F14,F$6:F$19),$E$42:$E$55,0))),0,INDEX($F$42:$F$55,MATCH(RANK(F14,F$6:F$19),$E$42:$E$55,0)))</f>
        <v/>
      </c>
      <c r="G33" s="76">
        <f>IF(ISERROR(INDEX($F$42:$F$55,MATCH(RANK(G14,G$6:G$19),$E$42:$E$55,0))),0,INDEX($F$42:$F$55,MATCH(RANK(G14,G$6:G$19),$E$42:$E$55,0)))</f>
        <v/>
      </c>
      <c r="H33" s="76">
        <f>IF(ISERROR(INDEX($F$42:$F$55,MATCH(RANK(H14,H$6:H$19),$E$42:$E$55,0))),0,INDEX($F$42:$F$55,MATCH(RANK(H14,H$6:H$19),$E$42:$E$55,0)))</f>
        <v/>
      </c>
      <c r="I33" s="76">
        <f>IF(ISERROR(INDEX($F$42:$F$55,MATCH(RANK(I14,I$6:I$19),$E$42:$E$55,0))),0,INDEX($F$42:$F$55,MATCH(RANK(I14,I$6:I$19),$E$42:$E$55,0)))</f>
        <v/>
      </c>
      <c r="J33" s="76">
        <f>IF(ISERROR(INDEX($F$42:$F$55,MATCH(RANK(J14,J$6:J$19),$E$42:$E$55,0))),0,INDEX($F$42:$F$55,MATCH(RANK(J14,J$6:J$19),$E$42:$E$55,0)))</f>
        <v/>
      </c>
      <c r="K33" s="76">
        <f>IF(ISERROR(INDEX($F$42:$F$55,MATCH(RANK(K14,K$6:K$19),$E$42:$E$55,0))),0,INDEX($F$42:$F$55,MATCH(RANK(K14,K$6:K$19),$E$42:$E$55,0)))</f>
        <v/>
      </c>
      <c r="L33" s="76">
        <f>IF(ISERROR(INDEX($F$42:$F$55,MATCH(RANK(L14,L$6:L$19),$E$42:$E$55,0))),0,INDEX($F$42:$F$55,MATCH(RANK(L14,L$6:L$19),$E$42:$E$55,0)))</f>
        <v/>
      </c>
      <c r="M33" s="76">
        <f>IF(ISERROR(INDEX($F$42:$F$55,MATCH(RANK(M14,M$6:M$19),$E$42:$E$55,0))),0,INDEX($F$42:$F$55,MATCH(RANK(M14,M$6:M$19),$E$42:$E$55,0)))</f>
        <v/>
      </c>
      <c r="N33" s="76">
        <f>IF(ISERROR(INDEX($F$42:$F$55,MATCH(RANK(N14,N$6:N$19),$E$42:$E$55,0))),0,INDEX($F$42:$F$55,MATCH(RANK(N14,N$6:N$19),$E$42:$E$55,0)))</f>
        <v/>
      </c>
      <c r="O33" s="76">
        <f>IF(ISERROR(INDEX($F$42:$F$55,MATCH(RANK(O14,O$6:O$19),$E$42:$E$55,0))),0,INDEX($F$42:$F$55,MATCH(RANK(O14,O$6:O$19),$E$42:$E$55,0)))</f>
        <v/>
      </c>
      <c r="P33" s="76">
        <f>IF(ISERROR(INDEX($F$42:$F$55,MATCH(RANK(P14,P$6:P$19),$E$42:$E$55,0))),0,INDEX($F$42:$F$55,MATCH(RANK(P14,P$6:P$19),$E$42:$E$55,0)))</f>
        <v/>
      </c>
      <c r="Q33" s="76">
        <f>IF(ISERROR(INDEX($F$42:$F$55,MATCH(RANK(Q14,Q$6:Q$19),$E$42:$E$55,0))),0,INDEX($F$42:$F$55,MATCH(RANK(Q14,Q$6:Q$19),$E$42:$E$55,0)))</f>
        <v/>
      </c>
      <c r="R33" s="76">
        <f>IF(ISERROR(INDEX($F$42:$F$55,MATCH(RANK(R14,R$6:R$19),$E$42:$E$55,0))),0,INDEX($F$42:$F$55,MATCH(RANK(R14,R$6:R$19),$E$42:$E$55,0)))</f>
        <v/>
      </c>
      <c r="S33" s="76">
        <f>IF(ISERROR(INDEX($F$42:$F$55,MATCH(RANK(S14,S$6:S$19),$E$42:$E$55,0))),0,INDEX($F$42:$F$55,MATCH(RANK(S14,S$6:S$19),$E$42:$E$55,0)))</f>
        <v/>
      </c>
      <c r="T33" s="76">
        <f>IF(ISERROR(INDEX($F$42:$F$55,MATCH(RANK(T14,T$6:T$19),$E$42:$E$55,0))),0,INDEX($F$42:$F$55,MATCH(RANK(T14,T$6:T$19),$E$42:$E$55,0)))</f>
        <v/>
      </c>
      <c r="U33" s="77">
        <f>IF(ISERROR(INDEX($F$42:$F$55,MATCH(RANK(U14,U$6:U$19),$E$42:$E$55,0))),0,INDEX($F$42:$F$55,MATCH(RANK(U14,U$6:U$19),$E$42:$E$55,0)))</f>
        <v/>
      </c>
      <c r="V33" s="78">
        <f>SUM(E33:U33)</f>
        <v/>
      </c>
      <c r="W33" s="63">
        <f>RANK(V33,$V$25:$V$38)</f>
        <v/>
      </c>
      <c r="X33" s="63">
        <f>COUNTIF(E33:T33,"=-65")</f>
        <v/>
      </c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 ht="16.5" customHeight="1" s="164">
      <c r="A34" s="1" t="n"/>
      <c r="B34" s="1" t="n"/>
      <c r="C34" s="1">
        <f>C15</f>
        <v/>
      </c>
      <c r="D34" s="1">
        <f>D15</f>
        <v/>
      </c>
      <c r="E34" s="76">
        <f>IF(ISERROR(INDEX($F$42:$F$55,MATCH(RANK(E15,E$6:E$19),$E$42:$E$55,0))),0,INDEX($F$42:$F$55,MATCH(RANK(E15,E$6:E$19),$E$42:$E$55,0)))</f>
        <v/>
      </c>
      <c r="F34" s="76">
        <f>IF(ISERROR(INDEX($F$42:$F$55,MATCH(RANK(F15,F$6:F$19),$E$42:$E$55,0))),0,INDEX($F$42:$F$55,MATCH(RANK(F15,F$6:F$19),$E$42:$E$55,0)))</f>
        <v/>
      </c>
      <c r="G34" s="76">
        <f>IF(ISERROR(INDEX($F$42:$F$55,MATCH(RANK(G15,G$6:G$19),$E$42:$E$55,0))),0,INDEX($F$42:$F$55,MATCH(RANK(G15,G$6:G$19),$E$42:$E$55,0)))</f>
        <v/>
      </c>
      <c r="H34" s="76">
        <f>IF(ISERROR(INDEX($F$42:$F$55,MATCH(RANK(H15,H$6:H$19),$E$42:$E$55,0))),0,INDEX($F$42:$F$55,MATCH(RANK(H15,H$6:H$19),$E$42:$E$55,0)))</f>
        <v/>
      </c>
      <c r="I34" s="76">
        <f>IF(ISERROR(INDEX($F$42:$F$55,MATCH(RANK(I15,I$6:I$19),$E$42:$E$55,0))),0,INDEX($F$42:$F$55,MATCH(RANK(I15,I$6:I$19),$E$42:$E$55,0)))</f>
        <v/>
      </c>
      <c r="J34" s="76">
        <f>IF(ISERROR(INDEX($F$42:$F$55,MATCH(RANK(J15,J$6:J$19),$E$42:$E$55,0))),0,INDEX($F$42:$F$55,MATCH(RANK(J15,J$6:J$19),$E$42:$E$55,0)))</f>
        <v/>
      </c>
      <c r="K34" s="76">
        <f>IF(ISERROR(INDEX($F$42:$F$55,MATCH(RANK(K15,K$6:K$19),$E$42:$E$55,0))),0,INDEX($F$42:$F$55,MATCH(RANK(K15,K$6:K$19),$E$42:$E$55,0)))</f>
        <v/>
      </c>
      <c r="L34" s="76">
        <f>IF(ISERROR(INDEX($F$42:$F$55,MATCH(RANK(L15,L$6:L$19),$E$42:$E$55,0))),0,INDEX($F$42:$F$55,MATCH(RANK(L15,L$6:L$19),$E$42:$E$55,0)))</f>
        <v/>
      </c>
      <c r="M34" s="76">
        <f>IF(ISERROR(INDEX($F$42:$F$55,MATCH(RANK(M15,M$6:M$19),$E$42:$E$55,0))),0,INDEX($F$42:$F$55,MATCH(RANK(M15,M$6:M$19),$E$42:$E$55,0)))</f>
        <v/>
      </c>
      <c r="N34" s="76">
        <f>IF(ISERROR(INDEX($F$42:$F$55,MATCH(RANK(N15,N$6:N$19),$E$42:$E$55,0))),0,INDEX($F$42:$F$55,MATCH(RANK(N15,N$6:N$19),$E$42:$E$55,0)))</f>
        <v/>
      </c>
      <c r="O34" s="76">
        <f>IF(ISERROR(INDEX($F$42:$F$55,MATCH(RANK(O15,O$6:O$19),$E$42:$E$55,0))),0,INDEX($F$42:$F$55,MATCH(RANK(O15,O$6:O$19),$E$42:$E$55,0)))</f>
        <v/>
      </c>
      <c r="P34" s="76">
        <f>IF(ISERROR(INDEX($F$42:$F$55,MATCH(RANK(P15,P$6:P$19),$E$42:$E$55,0))),0,INDEX($F$42:$F$55,MATCH(RANK(P15,P$6:P$19),$E$42:$E$55,0)))</f>
        <v/>
      </c>
      <c r="Q34" s="76">
        <f>IF(ISERROR(INDEX($F$42:$F$55,MATCH(RANK(Q15,Q$6:Q$19),$E$42:$E$55,0))),0,INDEX($F$42:$F$55,MATCH(RANK(Q15,Q$6:Q$19),$E$42:$E$55,0)))</f>
        <v/>
      </c>
      <c r="R34" s="76">
        <f>IF(ISERROR(INDEX($F$42:$F$55,MATCH(RANK(R15,R$6:R$19),$E$42:$E$55,0))),0,INDEX($F$42:$F$55,MATCH(RANK(R15,R$6:R$19),$E$42:$E$55,0)))</f>
        <v/>
      </c>
      <c r="S34" s="76">
        <f>IF(ISERROR(INDEX($F$42:$F$55,MATCH(RANK(S15,S$6:S$19),$E$42:$E$55,0))),0,INDEX($F$42:$F$55,MATCH(RANK(S15,S$6:S$19),$E$42:$E$55,0)))</f>
        <v/>
      </c>
      <c r="T34" s="76">
        <f>IF(ISERROR(INDEX($F$42:$F$55,MATCH(RANK(T15,T$6:T$19),$E$42:$E$55,0))),0,INDEX($F$42:$F$55,MATCH(RANK(T15,T$6:T$19),$E$42:$E$55,0)))</f>
        <v/>
      </c>
      <c r="U34" s="77">
        <f>IF(ISERROR(INDEX($F$42:$F$55,MATCH(RANK(U15,U$6:U$19),$E$42:$E$55,0))),0,INDEX($F$42:$F$55,MATCH(RANK(U15,U$6:U$19),$E$42:$E$55,0)))</f>
        <v/>
      </c>
      <c r="V34" s="78">
        <f>SUM(E34:U34)</f>
        <v/>
      </c>
      <c r="W34" s="63">
        <f>RANK(V34,$V$25:$V$38)</f>
        <v/>
      </c>
      <c r="X34" s="63">
        <f>COUNTIF(E34:T34,"=-65")</f>
        <v/>
      </c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</row>
    <row r="35" ht="16.5" customHeight="1" s="164">
      <c r="A35" s="1" t="n"/>
      <c r="B35" s="1" t="n"/>
      <c r="C35" s="1">
        <f>C16</f>
        <v/>
      </c>
      <c r="D35" s="1">
        <f>D16</f>
        <v/>
      </c>
      <c r="E35" s="76">
        <f>IF(ISERROR(INDEX($F$42:$F$55,MATCH(RANK(E16,E$6:E$19),$E$42:$E$55,0))),0,INDEX($F$42:$F$55,MATCH(RANK(E16,E$6:E$19),$E$42:$E$55,0)))</f>
        <v/>
      </c>
      <c r="F35" s="76">
        <f>IF(ISERROR(INDEX($F$42:$F$55,MATCH(RANK(F16,F$6:F$19),$E$42:$E$55,0))),0,INDEX($F$42:$F$55,MATCH(RANK(F16,F$6:F$19),$E$42:$E$55,0)))</f>
        <v/>
      </c>
      <c r="G35" s="76">
        <f>IF(ISERROR(INDEX($F$42:$F$55,MATCH(RANK(G16,G$6:G$19),$E$42:$E$55,0))),0,INDEX($F$42:$F$55,MATCH(RANK(G16,G$6:G$19),$E$42:$E$55,0)))</f>
        <v/>
      </c>
      <c r="H35" s="76">
        <f>IF(ISERROR(INDEX($F$42:$F$55,MATCH(RANK(H16,H$6:H$19),$E$42:$E$55,0))),0,INDEX($F$42:$F$55,MATCH(RANK(H16,H$6:H$19),$E$42:$E$55,0)))</f>
        <v/>
      </c>
      <c r="I35" s="76">
        <f>IF(ISERROR(INDEX($F$42:$F$55,MATCH(RANK(I16,I$6:I$19),$E$42:$E$55,0))),0,INDEX($F$42:$F$55,MATCH(RANK(I16,I$6:I$19),$E$42:$E$55,0)))</f>
        <v/>
      </c>
      <c r="J35" s="76">
        <f>IF(ISERROR(INDEX($F$42:$F$55,MATCH(RANK(J16,J$6:J$19),$E$42:$E$55,0))),0,INDEX($F$42:$F$55,MATCH(RANK(J16,J$6:J$19),$E$42:$E$55,0)))</f>
        <v/>
      </c>
      <c r="K35" s="76">
        <f>IF(ISERROR(INDEX($F$42:$F$55,MATCH(RANK(K16,K$6:K$19),$E$42:$E$55,0))),0,INDEX($F$42:$F$55,MATCH(RANK(K16,K$6:K$19),$E$42:$E$55,0)))</f>
        <v/>
      </c>
      <c r="L35" s="76">
        <f>IF(ISERROR(INDEX($F$42:$F$55,MATCH(RANK(L16,L$6:L$19),$E$42:$E$55,0))),0,INDEX($F$42:$F$55,MATCH(RANK(L16,L$6:L$19),$E$42:$E$55,0)))</f>
        <v/>
      </c>
      <c r="M35" s="76">
        <f>IF(ISERROR(INDEX($F$42:$F$55,MATCH(RANK(M16,M$6:M$19),$E$42:$E$55,0))),0,INDEX($F$42:$F$55,MATCH(RANK(M16,M$6:M$19),$E$42:$E$55,0)))</f>
        <v/>
      </c>
      <c r="N35" s="76">
        <f>IF(ISERROR(INDEX($F$42:$F$55,MATCH(RANK(N16,N$6:N$19),$E$42:$E$55,0))),0,INDEX($F$42:$F$55,MATCH(RANK(N16,N$6:N$19),$E$42:$E$55,0)))</f>
        <v/>
      </c>
      <c r="O35" s="76">
        <f>IF(ISERROR(INDEX($F$42:$F$55,MATCH(RANK(O16,O$6:O$19),$E$42:$E$55,0))),0,INDEX($F$42:$F$55,MATCH(RANK(O16,O$6:O$19),$E$42:$E$55,0)))</f>
        <v/>
      </c>
      <c r="P35" s="76">
        <f>IF(ISERROR(INDEX($F$42:$F$55,MATCH(RANK(P16,P$6:P$19),$E$42:$E$55,0))),0,INDEX($F$42:$F$55,MATCH(RANK(P16,P$6:P$19),$E$42:$E$55,0)))</f>
        <v/>
      </c>
      <c r="Q35" s="76">
        <f>IF(ISERROR(INDEX($F$42:$F$55,MATCH(RANK(Q16,Q$6:Q$19),$E$42:$E$55,0))),0,INDEX($F$42:$F$55,MATCH(RANK(Q16,Q$6:Q$19),$E$42:$E$55,0)))</f>
        <v/>
      </c>
      <c r="R35" s="76">
        <f>IF(ISERROR(INDEX($F$42:$F$55,MATCH(RANK(R16,R$6:R$19),$E$42:$E$55,0))),0,INDEX($F$42:$F$55,MATCH(RANK(R16,R$6:R$19),$E$42:$E$55,0)))</f>
        <v/>
      </c>
      <c r="S35" s="76">
        <f>IF(ISERROR(INDEX($F$42:$F$55,MATCH(RANK(S16,S$6:S$19),$E$42:$E$55,0))),0,INDEX($F$42:$F$55,MATCH(RANK(S16,S$6:S$19),$E$42:$E$55,0)))</f>
        <v/>
      </c>
      <c r="T35" s="76">
        <f>IF(ISERROR(INDEX($F$42:$F$55,MATCH(RANK(T16,T$6:T$19),$E$42:$E$55,0))),0,INDEX($F$42:$F$55,MATCH(RANK(T16,T$6:T$19),$E$42:$E$55,0)))</f>
        <v/>
      </c>
      <c r="U35" s="77">
        <f>IF(ISERROR(INDEX($F$42:$F$55,MATCH(RANK(U16,U$6:U$19),$E$42:$E$55,0))),0,INDEX($F$42:$F$55,MATCH(RANK(U16,U$6:U$19),$E$42:$E$55,0)))</f>
        <v/>
      </c>
      <c r="V35" s="78">
        <f>SUM(E35:U35)</f>
        <v/>
      </c>
      <c r="W35" s="63">
        <f>RANK(V35,$V$25:$V$38)</f>
        <v/>
      </c>
      <c r="X35" s="63">
        <f>COUNTIF(E35:T35,"=-65")</f>
        <v/>
      </c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</row>
    <row r="36" ht="16.5" customHeight="1" s="164">
      <c r="A36" s="1" t="n"/>
      <c r="B36" s="1" t="n"/>
      <c r="C36" s="1">
        <f>C17</f>
        <v/>
      </c>
      <c r="D36" s="1">
        <f>D17</f>
        <v/>
      </c>
      <c r="E36" s="76">
        <f>IF(ISERROR(INDEX($F$42:$F$55,MATCH(RANK(E17,E$6:E$19),$E$42:$E$55,0))),0,INDEX($F$42:$F$55,MATCH(RANK(E17,E$6:E$19),$E$42:$E$55,0)))</f>
        <v/>
      </c>
      <c r="F36" s="76">
        <f>IF(ISERROR(INDEX($F$42:$F$55,MATCH(RANK(F17,F$6:F$19),$E$42:$E$55,0))),0,INDEX($F$42:$F$55,MATCH(RANK(F17,F$6:F$19),$E$42:$E$55,0)))</f>
        <v/>
      </c>
      <c r="G36" s="76">
        <f>IF(ISERROR(INDEX($F$42:$F$55,MATCH(RANK(G17,G$6:G$19),$E$42:$E$55,0))),0,INDEX($F$42:$F$55,MATCH(RANK(G17,G$6:G$19),$E$42:$E$55,0)))</f>
        <v/>
      </c>
      <c r="H36" s="76">
        <f>IF(ISERROR(INDEX($F$42:$F$55,MATCH(RANK(H17,H$6:H$19),$E$42:$E$55,0))),0,INDEX($F$42:$F$55,MATCH(RANK(H17,H$6:H$19),$E$42:$E$55,0)))</f>
        <v/>
      </c>
      <c r="I36" s="76">
        <f>IF(ISERROR(INDEX($F$42:$F$55,MATCH(RANK(I17,I$6:I$19),$E$42:$E$55,0))),0,INDEX($F$42:$F$55,MATCH(RANK(I17,I$6:I$19),$E$42:$E$55,0)))</f>
        <v/>
      </c>
      <c r="J36" s="76">
        <f>IF(ISERROR(INDEX($F$42:$F$55,MATCH(RANK(J17,J$6:J$19),$E$42:$E$55,0))),0,INDEX($F$42:$F$55,MATCH(RANK(J17,J$6:J$19),$E$42:$E$55,0)))</f>
        <v/>
      </c>
      <c r="K36" s="76">
        <f>IF(ISERROR(INDEX($F$42:$F$55,MATCH(RANK(K17,K$6:K$19),$E$42:$E$55,0))),0,INDEX($F$42:$F$55,MATCH(RANK(K17,K$6:K$19),$E$42:$E$55,0)))</f>
        <v/>
      </c>
      <c r="L36" s="76">
        <f>IF(ISERROR(INDEX($F$42:$F$55,MATCH(RANK(L17,L$6:L$19),$E$42:$E$55,0))),0,INDEX($F$42:$F$55,MATCH(RANK(L17,L$6:L$19),$E$42:$E$55,0)))</f>
        <v/>
      </c>
      <c r="M36" s="76">
        <f>IF(ISERROR(INDEX($F$42:$F$55,MATCH(RANK(M17,M$6:M$19),$E$42:$E$55,0))),0,INDEX($F$42:$F$55,MATCH(RANK(M17,M$6:M$19),$E$42:$E$55,0)))</f>
        <v/>
      </c>
      <c r="N36" s="76">
        <f>IF(ISERROR(INDEX($F$42:$F$55,MATCH(RANK(N17,N$6:N$19),$E$42:$E$55,0))),0,INDEX($F$42:$F$55,MATCH(RANK(N17,N$6:N$19),$E$42:$E$55,0)))</f>
        <v/>
      </c>
      <c r="O36" s="76">
        <f>IF(ISERROR(INDEX($F$42:$F$55,MATCH(RANK(O17,O$6:O$19),$E$42:$E$55,0))),0,INDEX($F$42:$F$55,MATCH(RANK(O17,O$6:O$19),$E$42:$E$55,0)))</f>
        <v/>
      </c>
      <c r="P36" s="76">
        <f>IF(ISERROR(INDEX($F$42:$F$55,MATCH(RANK(P17,P$6:P$19),$E$42:$E$55,0))),0,INDEX($F$42:$F$55,MATCH(RANK(P17,P$6:P$19),$E$42:$E$55,0)))</f>
        <v/>
      </c>
      <c r="Q36" s="76">
        <f>IF(ISERROR(INDEX($F$42:$F$55,MATCH(RANK(Q17,Q$6:Q$19),$E$42:$E$55,0))),0,INDEX($F$42:$F$55,MATCH(RANK(Q17,Q$6:Q$19),$E$42:$E$55,0)))</f>
        <v/>
      </c>
      <c r="R36" s="76">
        <f>IF(ISERROR(INDEX($F$42:$F$55,MATCH(RANK(R17,R$6:R$19),$E$42:$E$55,0))),0,INDEX($F$42:$F$55,MATCH(RANK(R17,R$6:R$19),$E$42:$E$55,0)))</f>
        <v/>
      </c>
      <c r="S36" s="76">
        <f>IF(ISERROR(INDEX($F$42:$F$55,MATCH(RANK(S17,S$6:S$19),$E$42:$E$55,0))),0,INDEX($F$42:$F$55,MATCH(RANK(S17,S$6:S$19),$E$42:$E$55,0)))</f>
        <v/>
      </c>
      <c r="T36" s="76">
        <f>IF(ISERROR(INDEX($F$42:$F$55,MATCH(RANK(T17,T$6:T$19),$E$42:$E$55,0))),0,INDEX($F$42:$F$55,MATCH(RANK(T17,T$6:T$19),$E$42:$E$55,0)))</f>
        <v/>
      </c>
      <c r="U36" s="77">
        <f>IF(ISERROR(INDEX($F$42:$F$55,MATCH(RANK(U17,U$6:U$19),$E$42:$E$55,0))),0,INDEX($F$42:$F$55,MATCH(RANK(U17,U$6:U$19),$E$42:$E$55,0)))</f>
        <v/>
      </c>
      <c r="V36" s="78">
        <f>SUM(E36:U36)</f>
        <v/>
      </c>
      <c r="W36" s="63">
        <f>RANK(V36,$V$25:$V$38)</f>
        <v/>
      </c>
      <c r="X36" s="63">
        <f>COUNTIF(E36:T36,"=-65")</f>
        <v/>
      </c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</row>
    <row r="37" ht="16.5" customHeight="1" s="164">
      <c r="A37" s="1" t="n"/>
      <c r="B37" s="1" t="n"/>
      <c r="C37" s="1">
        <f>C18</f>
        <v/>
      </c>
      <c r="D37" s="1">
        <f>D18</f>
        <v/>
      </c>
      <c r="E37" s="76">
        <f>IF(ISERROR(INDEX($F$42:$F$55,MATCH(RANK(E18,E$6:E$19),$E$42:$E$55,0))),0,INDEX($F$42:$F$55,MATCH(RANK(E18,E$6:E$19),$E$42:$E$55,0)))</f>
        <v/>
      </c>
      <c r="F37" s="76">
        <f>IF(ISERROR(INDEX($F$42:$F$55,MATCH(RANK(F18,F$6:F$19),$E$42:$E$55,0))),0,INDEX($F$42:$F$55,MATCH(RANK(F18,F$6:F$19),$E$42:$E$55,0)))</f>
        <v/>
      </c>
      <c r="G37" s="76">
        <f>IF(ISERROR(INDEX($F$42:$F$55,MATCH(RANK(G18,G$6:G$19),$E$42:$E$55,0))),0,INDEX($F$42:$F$55,MATCH(RANK(G18,G$6:G$19),$E$42:$E$55,0)))</f>
        <v/>
      </c>
      <c r="H37" s="76">
        <f>IF(ISERROR(INDEX($F$42:$F$55,MATCH(RANK(H18,H$6:H$19),$E$42:$E$55,0))),0,INDEX($F$42:$F$55,MATCH(RANK(H18,H$6:H$19),$E$42:$E$55,0)))</f>
        <v/>
      </c>
      <c r="I37" s="76">
        <f>IF(ISERROR(INDEX($F$42:$F$55,MATCH(RANK(I18,I$6:I$19),$E$42:$E$55,0))),0,INDEX($F$42:$F$55,MATCH(RANK(I18,I$6:I$19),$E$42:$E$55,0)))</f>
        <v/>
      </c>
      <c r="J37" s="76">
        <f>IF(ISERROR(INDEX($F$42:$F$55,MATCH(RANK(J18,J$6:J$19),$E$42:$E$55,0))),0,INDEX($F$42:$F$55,MATCH(RANK(J18,J$6:J$19),$E$42:$E$55,0)))</f>
        <v/>
      </c>
      <c r="K37" s="76">
        <f>IF(ISERROR(INDEX($F$42:$F$55,MATCH(RANK(K18,K$6:K$19),$E$42:$E$55,0))),0,INDEX($F$42:$F$55,MATCH(RANK(K18,K$6:K$19),$E$42:$E$55,0)))</f>
        <v/>
      </c>
      <c r="L37" s="76">
        <f>IF(ISERROR(INDEX($F$42:$F$55,MATCH(RANK(L18,L$6:L$19),$E$42:$E$55,0))),0,INDEX($F$42:$F$55,MATCH(RANK(L18,L$6:L$19),$E$42:$E$55,0)))</f>
        <v/>
      </c>
      <c r="M37" s="76">
        <f>IF(ISERROR(INDEX($F$42:$F$55,MATCH(RANK(M18,M$6:M$19),$E$42:$E$55,0))),0,INDEX($F$42:$F$55,MATCH(RANK(M18,M$6:M$19),$E$42:$E$55,0)))</f>
        <v/>
      </c>
      <c r="N37" s="76">
        <f>IF(ISERROR(INDEX($F$42:$F$55,MATCH(RANK(N18,N$6:N$19),$E$42:$E$55,0))),0,INDEX($F$42:$F$55,MATCH(RANK(N18,N$6:N$19),$E$42:$E$55,0)))</f>
        <v/>
      </c>
      <c r="O37" s="76">
        <f>IF(ISERROR(INDEX($F$42:$F$55,MATCH(RANK(O18,O$6:O$19),$E$42:$E$55,0))),0,INDEX($F$42:$F$55,MATCH(RANK(O18,O$6:O$19),$E$42:$E$55,0)))</f>
        <v/>
      </c>
      <c r="P37" s="76">
        <f>IF(ISERROR(INDEX($F$42:$F$55,MATCH(RANK(P18,P$6:P$19),$E$42:$E$55,0))),0,INDEX($F$42:$F$55,MATCH(RANK(P18,P$6:P$19),$E$42:$E$55,0)))</f>
        <v/>
      </c>
      <c r="Q37" s="76">
        <f>IF(ISERROR(INDEX($F$42:$F$55,MATCH(RANK(Q18,Q$6:Q$19),$E$42:$E$55,0))),0,INDEX($F$42:$F$55,MATCH(RANK(Q18,Q$6:Q$19),$E$42:$E$55,0)))</f>
        <v/>
      </c>
      <c r="R37" s="76">
        <f>IF(ISERROR(INDEX($F$42:$F$55,MATCH(RANK(R18,R$6:R$19),$E$42:$E$55,0))),0,INDEX($F$42:$F$55,MATCH(RANK(R18,R$6:R$19),$E$42:$E$55,0)))</f>
        <v/>
      </c>
      <c r="S37" s="76">
        <f>IF(ISERROR(INDEX($F$42:$F$55,MATCH(RANK(S18,S$6:S$19),$E$42:$E$55,0))),0,INDEX($F$42:$F$55,MATCH(RANK(S18,S$6:S$19),$E$42:$E$55,0)))</f>
        <v/>
      </c>
      <c r="T37" s="76">
        <f>IF(ISERROR(INDEX($F$42:$F$55,MATCH(RANK(T18,T$6:T$19),$E$42:$E$55,0))),0,INDEX($F$42:$F$55,MATCH(RANK(T18,T$6:T$19),$E$42:$E$55,0)))</f>
        <v/>
      </c>
      <c r="U37" s="77">
        <f>IF(ISERROR(INDEX($F$42:$F$55,MATCH(RANK(U18,U$6:U$19),$E$42:$E$55,0))),0,INDEX($F$42:$F$55,MATCH(RANK(U18,U$6:U$19),$E$42:$E$55,0)))</f>
        <v/>
      </c>
      <c r="V37" s="78">
        <f>SUM(E37:U37)</f>
        <v/>
      </c>
      <c r="W37" s="63">
        <f>RANK(V37,$V$25:$V$38)</f>
        <v/>
      </c>
      <c r="X37" s="63">
        <f>COUNTIF(E37:T37,"=-65")</f>
        <v/>
      </c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</row>
    <row r="38" ht="16.5" customHeight="1" s="164">
      <c r="A38" s="1" t="n"/>
      <c r="B38" s="1" t="n"/>
      <c r="C38" s="1">
        <f>C19</f>
        <v/>
      </c>
      <c r="D38" s="1">
        <f>D19</f>
        <v/>
      </c>
      <c r="E38" s="76">
        <f>IF(ISERROR(INDEX($F$42:$F$55,MATCH(RANK(E19,E$6:E$19),$E$42:$E$55,0))),0,INDEX($F$42:$F$55,MATCH(RANK(E19,E$6:E$19),$E$42:$E$55,0)))</f>
        <v/>
      </c>
      <c r="F38" s="76">
        <f>IF(ISERROR(INDEX($F$42:$F$55,MATCH(RANK(F19,F$6:F$19),$E$42:$E$55,0))),0,INDEX($F$42:$F$55,MATCH(RANK(F19,F$6:F$19),$E$42:$E$55,0)))</f>
        <v/>
      </c>
      <c r="G38" s="76">
        <f>IF(ISERROR(INDEX($F$42:$F$55,MATCH(RANK(G19,G$6:G$19),$E$42:$E$55,0))),0,INDEX($F$42:$F$55,MATCH(RANK(G19,G$6:G$19),$E$42:$E$55,0)))</f>
        <v/>
      </c>
      <c r="H38" s="76">
        <f>IF(ISERROR(INDEX($F$42:$F$55,MATCH(RANK(H19,H$6:H$19),$E$42:$E$55,0))),0,INDEX($F$42:$F$55,MATCH(RANK(H19,H$6:H$19),$E$42:$E$55,0)))</f>
        <v/>
      </c>
      <c r="I38" s="76">
        <f>IF(ISERROR(INDEX($F$42:$F$55,MATCH(RANK(I19,I$6:I$19),$E$42:$E$55,0))),0,INDEX($F$42:$F$55,MATCH(RANK(I19,I$6:I$19),$E$42:$E$55,0)))</f>
        <v/>
      </c>
      <c r="J38" s="76">
        <f>IF(ISERROR(INDEX($F$42:$F$55,MATCH(RANK(J19,J$6:J$19),$E$42:$E$55,0))),0,INDEX($F$42:$F$55,MATCH(RANK(J19,J$6:J$19),$E$42:$E$55,0)))</f>
        <v/>
      </c>
      <c r="K38" s="76">
        <f>IF(ISERROR(INDEX($F$42:$F$55,MATCH(RANK(K19,K$6:K$19),$E$42:$E$55,0))),0,INDEX($F$42:$F$55,MATCH(RANK(K19,K$6:K$19),$E$42:$E$55,0)))</f>
        <v/>
      </c>
      <c r="L38" s="76">
        <f>IF(ISERROR(INDEX($F$42:$F$55,MATCH(RANK(L19,L$6:L$19),$E$42:$E$55,0))),0,INDEX($F$42:$F$55,MATCH(RANK(L19,L$6:L$19),$E$42:$E$55,0)))</f>
        <v/>
      </c>
      <c r="M38" s="76">
        <f>IF(ISERROR(INDEX($F$42:$F$55,MATCH(RANK(M19,M$6:M$19),$E$42:$E$55,0))),0,INDEX($F$42:$F$55,MATCH(RANK(M19,M$6:M$19),$E$42:$E$55,0)))</f>
        <v/>
      </c>
      <c r="N38" s="76">
        <f>IF(ISERROR(INDEX($F$42:$F$55,MATCH(RANK(N19,N$6:N$19),$E$42:$E$55,0))),0,INDEX($F$42:$F$55,MATCH(RANK(N19,N$6:N$19),$E$42:$E$55,0)))</f>
        <v/>
      </c>
      <c r="O38" s="76">
        <f>IF(ISERROR(INDEX($F$42:$F$55,MATCH(RANK(O19,O$6:O$19),$E$42:$E$55,0))),0,INDEX($F$42:$F$55,MATCH(RANK(O19,O$6:O$19),$E$42:$E$55,0)))</f>
        <v/>
      </c>
      <c r="P38" s="76">
        <f>IF(ISERROR(INDEX($F$42:$F$55,MATCH(RANK(P19,P$6:P$19),$E$42:$E$55,0))),0,INDEX($F$42:$F$55,MATCH(RANK(P19,P$6:P$19),$E$42:$E$55,0)))</f>
        <v/>
      </c>
      <c r="Q38" s="76">
        <f>IF(ISERROR(INDEX($F$42:$F$55,MATCH(RANK(Q19,Q$6:Q$19),$E$42:$E$55,0))),0,INDEX($F$42:$F$55,MATCH(RANK(Q19,Q$6:Q$19),$E$42:$E$55,0)))</f>
        <v/>
      </c>
      <c r="R38" s="76">
        <f>IF(ISERROR(INDEX($F$42:$F$55,MATCH(RANK(R19,R$6:R$19),$E$42:$E$55,0))),0,INDEX($F$42:$F$55,MATCH(RANK(R19,R$6:R$19),$E$42:$E$55,0)))</f>
        <v/>
      </c>
      <c r="S38" s="76">
        <f>IF(ISERROR(INDEX($F$42:$F$55,MATCH(RANK(S19,S$6:S$19),$E$42:$E$55,0))),0,INDEX($F$42:$F$55,MATCH(RANK(S19,S$6:S$19),$E$42:$E$55,0)))</f>
        <v/>
      </c>
      <c r="T38" s="76">
        <f>IF(ISERROR(INDEX($F$42:$F$55,MATCH(RANK(T19,T$6:T$19),$E$42:$E$55,0))),0,INDEX($F$42:$F$55,MATCH(RANK(T19,T$6:T$19),$E$42:$E$55,0)))</f>
        <v/>
      </c>
      <c r="U38" s="77">
        <f>IF(ISERROR(INDEX($F$42:$F$55,MATCH(RANK(U19,U$6:U$19),$E$42:$E$55,0))),0,INDEX($F$42:$F$55,MATCH(RANK(U19,U$6:U$19),$E$42:$E$55,0)))</f>
        <v/>
      </c>
      <c r="V38" s="78">
        <f>SUM(E38:U38)</f>
        <v/>
      </c>
      <c r="W38" s="63">
        <f>RANK(V38,$V$25:$V$38)</f>
        <v/>
      </c>
      <c r="X38" s="63">
        <f>COUNTIF(E38:T38,"=-65")</f>
        <v/>
      </c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</row>
    <row r="39" ht="16.5" customHeight="1" s="164">
      <c r="A39" s="1" t="n"/>
      <c r="B39" s="1" t="n"/>
      <c r="C39" s="68" t="inlineStr">
        <is>
          <t>Check</t>
        </is>
      </c>
      <c r="D39" s="68" t="n"/>
      <c r="E39" s="79">
        <f>SUM(E25:E38)</f>
        <v/>
      </c>
      <c r="F39" s="79">
        <f>SUM(F25:F38)</f>
        <v/>
      </c>
      <c r="G39" s="79">
        <f>SUM(G25:G38)</f>
        <v/>
      </c>
      <c r="H39" s="79">
        <f>SUM(H25:H38)</f>
        <v/>
      </c>
      <c r="I39" s="79">
        <f>SUM(I25:I38)</f>
        <v/>
      </c>
      <c r="J39" s="79">
        <f>SUM(J25:J38)</f>
        <v/>
      </c>
      <c r="K39" s="79">
        <f>SUM(K25:K38)</f>
        <v/>
      </c>
      <c r="L39" s="79">
        <f>SUM(L25:L38)</f>
        <v/>
      </c>
      <c r="M39" s="79">
        <f>SUM(M25:M38)</f>
        <v/>
      </c>
      <c r="N39" s="79">
        <f>SUM(N25:N38)</f>
        <v/>
      </c>
      <c r="O39" s="79">
        <f>SUM(O25:O38)</f>
        <v/>
      </c>
      <c r="P39" s="79">
        <f>SUM(P25:P38)</f>
        <v/>
      </c>
      <c r="Q39" s="79">
        <f>SUM(Q25:Q38)</f>
        <v/>
      </c>
      <c r="R39" s="79">
        <f>SUM(R25:R38)</f>
        <v/>
      </c>
      <c r="S39" s="79">
        <f>SUM(S25:S38)</f>
        <v/>
      </c>
      <c r="T39" s="79">
        <f>SUM(T25:T38)</f>
        <v/>
      </c>
      <c r="U39" s="79">
        <f>SUM(U25:U38)</f>
        <v/>
      </c>
      <c r="V39" s="80">
        <f>SUM(V25:V38)</f>
        <v/>
      </c>
      <c r="W39" s="10" t="n"/>
      <c r="X39" s="10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</row>
    <row r="40" ht="16.5" customHeight="1" s="16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 ht="16.5" customHeight="1" s="16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6.5" customHeight="1" s="164">
      <c r="A42" s="1" t="n"/>
      <c r="B42" s="1" t="n"/>
      <c r="C42" s="1" t="n"/>
      <c r="D42" s="1" t="n"/>
      <c r="E42" s="81" t="n">
        <v>1</v>
      </c>
      <c r="F42" s="82">
        <f>F43+10</f>
        <v/>
      </c>
      <c r="G42" s="1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  <c r="X42" s="83" t="n"/>
      <c r="Y42" s="83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6.5" customHeight="1" s="164">
      <c r="A43" s="1" t="n"/>
      <c r="B43" s="1" t="n"/>
      <c r="C43" s="1" t="n"/>
      <c r="D43" s="1" t="n"/>
      <c r="E43" s="25">
        <f>E42+1</f>
        <v/>
      </c>
      <c r="F43" s="84">
        <f>F44+10</f>
        <v/>
      </c>
      <c r="G43" s="1" t="n"/>
      <c r="H43" s="83" t="n"/>
      <c r="I43" s="83" t="n"/>
      <c r="J43" s="83" t="n"/>
      <c r="K43" s="83" t="n"/>
      <c r="L43" s="83" t="n"/>
      <c r="M43" s="83" t="n"/>
      <c r="N43" s="83" t="n"/>
      <c r="O43" s="83" t="n"/>
      <c r="P43" s="83" t="n"/>
      <c r="Q43" s="83" t="n"/>
      <c r="R43" s="83" t="n"/>
      <c r="S43" s="83" t="n"/>
      <c r="T43" s="83" t="n"/>
      <c r="U43" s="83" t="n"/>
      <c r="V43" s="83" t="n"/>
      <c r="W43" s="83" t="n"/>
      <c r="X43" s="83" t="n"/>
      <c r="Y43" s="83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6.5" customHeight="1" s="164">
      <c r="A44" s="1" t="n"/>
      <c r="B44" s="1" t="n"/>
      <c r="C44" s="1" t="n"/>
      <c r="D44" s="1" t="n"/>
      <c r="E44" s="25">
        <f>E43+1</f>
        <v/>
      </c>
      <c r="F44" s="84">
        <f>F45+10</f>
        <v/>
      </c>
      <c r="G44" s="1" t="n"/>
      <c r="H44" s="83" t="n"/>
      <c r="I44" s="83" t="n"/>
      <c r="J44" s="83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16.5" customHeight="1" s="164">
      <c r="A45" s="1" t="n"/>
      <c r="B45" s="1" t="n"/>
      <c r="C45" s="1" t="n"/>
      <c r="D45" s="1" t="n"/>
      <c r="E45" s="25">
        <f>E44+1</f>
        <v/>
      </c>
      <c r="F45" s="84">
        <f>F46+10</f>
        <v/>
      </c>
      <c r="G45" s="1" t="n"/>
      <c r="H45" s="83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3" t="n"/>
      <c r="S45" s="83" t="n"/>
      <c r="T45" s="83" t="n"/>
      <c r="U45" s="83" t="n"/>
      <c r="V45" s="83" t="n"/>
      <c r="W45" s="83" t="n"/>
      <c r="X45" s="83" t="n"/>
      <c r="Y45" s="83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16.5" customHeight="1" s="164">
      <c r="A46" s="1" t="n"/>
      <c r="B46" s="1" t="n"/>
      <c r="C46" s="1" t="n"/>
      <c r="D46" s="1" t="n"/>
      <c r="E46" s="25">
        <f>E45+1</f>
        <v/>
      </c>
      <c r="F46" s="84">
        <f>F47+10</f>
        <v/>
      </c>
      <c r="G46" s="1" t="n"/>
      <c r="H46" s="83" t="n"/>
      <c r="I46" s="83" t="n"/>
      <c r="J46" s="83" t="n"/>
      <c r="K46" s="83" t="n"/>
      <c r="L46" s="83" t="n"/>
      <c r="M46" s="83" t="n"/>
      <c r="N46" s="83" t="n"/>
      <c r="O46" s="83" t="n"/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6.5" customHeight="1" s="164">
      <c r="A47" s="1" t="n"/>
      <c r="B47" s="1" t="n"/>
      <c r="C47" s="1" t="n"/>
      <c r="D47" s="1" t="n"/>
      <c r="E47" s="25">
        <f>E46+1</f>
        <v/>
      </c>
      <c r="F47" s="84">
        <f>F48+10</f>
        <v/>
      </c>
      <c r="G47" s="1" t="n"/>
      <c r="H47" s="83" t="n"/>
      <c r="I47" s="83" t="n"/>
      <c r="J47" s="83" t="n"/>
      <c r="K47" s="83" t="n"/>
      <c r="L47" s="83" t="n"/>
      <c r="M47" s="83" t="n"/>
      <c r="N47" s="83" t="n"/>
      <c r="O47" s="83" t="n"/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6.5" customHeight="1" s="164">
      <c r="A48" s="1" t="n"/>
      <c r="B48" s="1" t="n"/>
      <c r="C48" s="1" t="n"/>
      <c r="D48" s="1" t="n"/>
      <c r="E48" s="25">
        <f>E47+1</f>
        <v/>
      </c>
      <c r="F48" s="84">
        <f>F49+10</f>
        <v/>
      </c>
      <c r="G48" s="1" t="n"/>
      <c r="H48" s="83" t="n"/>
      <c r="I48" s="83" t="n"/>
      <c r="J48" s="83" t="n"/>
      <c r="K48" s="83" t="n"/>
      <c r="L48" s="83" t="n"/>
      <c r="M48" s="83" t="n"/>
      <c r="N48" s="83" t="n"/>
      <c r="O48" s="83" t="n"/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6.5" customHeight="1" s="164">
      <c r="A49" s="1" t="n"/>
      <c r="B49" s="1" t="n"/>
      <c r="C49" s="1" t="n"/>
      <c r="D49" s="1" t="n"/>
      <c r="E49" s="25">
        <f>E48+1</f>
        <v/>
      </c>
      <c r="F49" s="84">
        <f>F50+10</f>
        <v/>
      </c>
      <c r="G49" s="1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6.5" customHeight="1" s="164">
      <c r="A50" s="1" t="n"/>
      <c r="B50" s="1" t="n"/>
      <c r="C50" s="1" t="n"/>
      <c r="D50" s="1" t="n"/>
      <c r="E50" s="25">
        <f>E49+1</f>
        <v/>
      </c>
      <c r="F50" s="84">
        <f>F51+10</f>
        <v/>
      </c>
      <c r="G50" s="1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  <c r="X50" s="83" t="n"/>
      <c r="Y50" s="83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6.5" customHeight="1" s="164">
      <c r="A51" s="1" t="n"/>
      <c r="B51" s="1" t="n"/>
      <c r="C51" s="1" t="n"/>
      <c r="D51" s="1" t="n"/>
      <c r="E51" s="25">
        <f>E50+1</f>
        <v/>
      </c>
      <c r="F51" s="84">
        <f>F52+10</f>
        <v/>
      </c>
      <c r="G51" s="1" t="n"/>
      <c r="H51" s="83" t="n"/>
      <c r="I51" s="83" t="n"/>
      <c r="J51" s="83" t="n"/>
      <c r="K51" s="83" t="n"/>
      <c r="L51" s="83" t="n"/>
      <c r="M51" s="83" t="n"/>
      <c r="N51" s="83" t="n"/>
      <c r="O51" s="83" t="n"/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6.5" customHeight="1" s="164">
      <c r="A52" s="1" t="n"/>
      <c r="B52" s="1" t="n"/>
      <c r="C52" s="1" t="n"/>
      <c r="D52" s="1" t="n"/>
      <c r="E52" s="25" t="n">
        <v>11</v>
      </c>
      <c r="F52" s="84">
        <f>F53+10</f>
        <v/>
      </c>
      <c r="G52" s="1" t="n"/>
      <c r="H52" s="1" t="n"/>
      <c r="I52" s="83" t="n"/>
      <c r="J52" s="83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6.5" customHeight="1" s="164">
      <c r="A53" s="1" t="n"/>
      <c r="B53" s="1" t="n"/>
      <c r="C53" s="1" t="n"/>
      <c r="D53" s="1" t="n"/>
      <c r="E53" s="25" t="n">
        <v>12</v>
      </c>
      <c r="F53" s="84">
        <f>F54+10</f>
        <v/>
      </c>
      <c r="G53" s="1" t="n"/>
      <c r="H53" s="1" t="n"/>
      <c r="I53" s="83" t="n"/>
      <c r="J53" s="83" t="n"/>
      <c r="K53" s="1" t="n"/>
      <c r="L53" s="83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6.5" customHeight="1" s="164">
      <c r="A54" s="1" t="n"/>
      <c r="B54" s="1" t="n"/>
      <c r="C54" s="1" t="n"/>
      <c r="D54" s="1" t="n"/>
      <c r="E54" s="25" t="n">
        <v>13</v>
      </c>
      <c r="F54" s="84">
        <f>F55+10</f>
        <v/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6.5" customHeight="1" s="164">
      <c r="A55" s="1" t="n"/>
      <c r="B55" s="1" t="n"/>
      <c r="C55" s="1" t="n"/>
      <c r="D55" s="1" t="n"/>
      <c r="E55" s="85" t="n">
        <v>14</v>
      </c>
      <c r="F55" s="86" t="n">
        <v>-65</v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6.5" customHeight="1" s="16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6.5" customHeight="1" s="16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6.5" customHeight="1" s="16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16.5" customHeight="1" s="16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6.5" customHeight="1" s="16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6.5" customHeight="1" s="16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6.5" customHeight="1" s="16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6.5" customHeight="1" s="16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6.5" customHeight="1" s="1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6.5" customHeight="1" s="16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6.5" customHeight="1" s="16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</row>
    <row r="67" ht="16.5" customHeight="1" s="16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6.5" customHeight="1" s="16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6.5" customHeight="1" s="16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6.5" customHeight="1" s="16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6.5" customHeight="1" s="16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6.5" customHeight="1" s="16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6.5" customHeight="1" s="16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6.5" customHeight="1" s="16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6.5" customHeight="1" s="16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6.5" customHeight="1" s="16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6.5" customHeight="1" s="16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6.5" customHeight="1" s="16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6.5" customHeight="1" s="16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6.5" customHeight="1" s="16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6.5" customHeight="1" s="16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6.5" customHeight="1" s="16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6.5" customHeight="1" s="16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6.5" customHeight="1" s="16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6.5" customHeight="1" s="16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6.5" customHeight="1" s="16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6.5" customHeight="1" s="16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6.5" customHeight="1" s="16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6.5" customHeight="1" s="16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6.5" customHeight="1" s="16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6.5" customHeight="1" s="16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6.5" customHeight="1" s="16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6.5" customHeight="1" s="16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6.5" customHeight="1" s="16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6.5" customHeight="1" s="16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6.5" customHeight="1" s="16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6.5" customHeight="1" s="16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6.5" customHeight="1" s="16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6.5" customHeight="1" s="16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6.5" customHeight="1" s="16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6.5" customHeight="1" s="16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6.5" customHeight="1" s="16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6.5" customHeight="1" s="16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6.5" customHeight="1" s="16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6.5" customHeight="1" s="16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6.5" customHeight="1" s="16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6.5" customHeight="1" s="16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6.5" customHeight="1" s="16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6.5" customHeight="1" s="16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6.5" customHeight="1" s="16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6.5" customHeight="1" s="16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6.5" customHeight="1" s="16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6.5" customHeight="1" s="16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6.5" customHeight="1" s="16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6.5" customHeight="1" s="16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6.5" customHeight="1" s="16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6.5" customHeight="1" s="16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6.5" customHeight="1" s="16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6.5" customHeight="1" s="16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6.5" customHeight="1" s="16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6.5" customHeight="1" s="16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6.5" customHeight="1" s="16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6.5" customHeight="1" s="16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6.5" customHeight="1" s="16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6.5" customHeight="1" s="16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6.5" customHeight="1" s="16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6.5" customHeight="1" s="16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6.5" customHeight="1" s="16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6.5" customHeight="1" s="16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6.5" customHeight="1" s="16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6.5" customHeight="1" s="16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6.5" customHeight="1" s="16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6.5" customHeight="1" s="16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6.5" customHeight="1" s="16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6.5" customHeight="1" s="16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6.5" customHeight="1" s="16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6.5" customHeight="1" s="16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6.5" customHeight="1" s="16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6.5" customHeight="1" s="16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6.5" customHeight="1" s="16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6.5" customHeight="1" s="16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6.5" customHeight="1" s="16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6.5" customHeight="1" s="16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6.5" customHeight="1" s="16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6.5" customHeight="1" s="16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6.5" customHeight="1" s="16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6.5" customHeight="1" s="16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6.5" customHeight="1" s="16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6.5" customHeight="1" s="16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6.5" customHeight="1" s="16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6.5" customHeight="1" s="16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6.5" customHeight="1" s="16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6.5" customHeight="1" s="16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6.5" customHeight="1" s="16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6.5" customHeight="1" s="16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6.5" customHeight="1" s="16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6.5" customHeight="1" s="16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6.5" customHeight="1" s="16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6.5" customHeight="1" s="16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6.5" customHeight="1" s="16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6.5" customHeight="1" s="16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6.5" customHeight="1" s="16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6.5" customHeight="1" s="16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6.5" customHeight="1" s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6.5" customHeight="1" s="16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6.5" customHeight="1" s="16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6.5" customHeight="1" s="16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6.5" customHeight="1" s="16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6.5" customHeight="1" s="16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6.5" customHeight="1" s="16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6.5" customHeight="1" s="16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6.5" customHeight="1" s="16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6.5" customHeight="1" s="16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6.5" customHeight="1" s="16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6.5" customHeight="1" s="16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6.5" customHeight="1" s="16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6.5" customHeight="1" s="16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6.5" customHeight="1" s="16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6.5" customHeight="1" s="16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6.5" customHeight="1" s="16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6.5" customHeight="1" s="16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6.5" customHeight="1" s="16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6.5" customHeight="1" s="16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6.5" customHeight="1" s="16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6.5" customHeight="1" s="16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6.5" customHeight="1" s="16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6.5" customHeight="1" s="16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6.5" customHeight="1" s="16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6.5" customHeight="1" s="16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6.5" customHeight="1" s="16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6.5" customHeight="1" s="16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6.5" customHeight="1" s="16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6.5" customHeight="1" s="16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6.5" customHeight="1" s="16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6.5" customHeight="1" s="16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6.5" customHeight="1" s="16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6.5" customHeight="1" s="16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6.5" customHeight="1" s="16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6.5" customHeight="1" s="16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6.5" customHeight="1" s="16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6.5" customHeight="1" s="16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6.5" customHeight="1" s="16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6.5" customHeight="1" s="16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6.5" customHeight="1" s="16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6.5" customHeight="1" s="16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6.5" customHeight="1" s="16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6.5" customHeight="1" s="16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6.5" customHeight="1" s="16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6.5" customHeight="1" s="16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6.5" customHeight="1" s="16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6.5" customHeight="1" s="16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6.5" customHeight="1" s="16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6.5" customHeight="1" s="16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6.5" customHeight="1" s="16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6.5" customHeight="1" s="16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6.5" customHeight="1" s="16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6.5" customHeight="1" s="16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6.5" customHeight="1" s="16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6.5" customHeight="1" s="16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6.5" customHeight="1" s="16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6.5" customHeight="1" s="16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6.5" customHeight="1" s="16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6.5" customHeight="1" s="16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6.5" customHeight="1" s="16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6.5" customHeight="1" s="16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6.5" customHeight="1" s="16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6.5" customHeight="1" s="16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6.5" customHeight="1" s="16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6.5" customHeight="1" s="16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6.5" customHeight="1" s="16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6.5" customHeight="1" s="16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6.5" customHeight="1" s="16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6.5" customHeight="1" s="16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6.5" customHeight="1" s="16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6.5" customHeight="1" s="16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6.5" customHeight="1" s="16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6.5" customHeight="1" s="16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6.5" customHeight="1" s="16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6.5" customHeight="1" s="16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6.5" customHeight="1" s="16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6.5" customHeight="1" s="16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6.5" customHeight="1" s="16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6.5" customHeight="1" s="16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6.5" customHeight="1" s="16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6.5" customHeight="1" s="16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6.5" customHeight="1" s="16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6.5" customHeight="1" s="16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6.5" customHeight="1" s="16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6.5" customHeight="1" s="16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6.5" customHeight="1" s="16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6.5" customHeight="1" s="16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6.5" customHeight="1" s="16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6.5" customHeight="1" s="16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6.5" customHeight="1" s="16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6.5" customHeight="1" s="16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6.5" customHeight="1" s="16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6.5" customHeight="1" s="16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6.5" customHeight="1" s="16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6.5" customHeight="1" s="16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6.5" customHeight="1" s="16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6.5" customHeight="1" s="16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6.5" customHeight="1" s="16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6.5" customHeight="1" s="16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6.5" customHeight="1" s="1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6.5" customHeight="1" s="16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6.5" customHeight="1" s="16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6.5" customHeight="1" s="16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6.5" customHeight="1" s="16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6.5" customHeight="1" s="16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6.5" customHeight="1" s="16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6.5" customHeight="1" s="16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6.5" customHeight="1" s="16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6.5" customHeight="1" s="16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6.5" customHeight="1" s="16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6.5" customHeight="1" s="16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6.5" customHeight="1" s="16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6.5" customHeight="1" s="16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6.5" customHeight="1" s="16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6.5" customHeight="1" s="16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6.5" customHeight="1" s="16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6.5" customHeight="1" s="16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6.5" customHeight="1" s="16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6.5" customHeight="1" s="16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6.5" customHeight="1" s="16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6.5" customHeight="1" s="16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6.5" customHeight="1" s="16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6.5" customHeight="1" s="16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6.5" customHeight="1" s="16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6.5" customHeight="1" s="16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6.5" customHeight="1" s="16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6.5" customHeight="1" s="16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6.5" customHeight="1" s="16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6.5" customHeight="1" s="16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6.5" customHeight="1" s="16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6.5" customHeight="1" s="16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6.5" customHeight="1" s="16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6.5" customHeight="1" s="16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6.5" customHeight="1" s="16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6.5" customHeight="1" s="16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6.5" customHeight="1" s="16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  <row r="301" ht="16.5" customHeight="1" s="16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</row>
    <row r="302" ht="16.5" customHeight="1" s="16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</row>
    <row r="303" ht="16.5" customHeight="1" s="16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</row>
    <row r="304" ht="16.5" customHeight="1" s="16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</row>
    <row r="305" ht="16.5" customHeight="1" s="16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</row>
    <row r="306" ht="16.5" customHeight="1" s="16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</row>
    <row r="307" ht="16.5" customHeight="1" s="16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</row>
    <row r="308" ht="16.5" customHeight="1" s="16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</row>
    <row r="309" ht="16.5" customHeight="1" s="16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</row>
    <row r="310" ht="16.5" customHeight="1" s="16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</row>
    <row r="311" ht="16.5" customHeight="1" s="16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</row>
    <row r="312" ht="16.5" customHeight="1" s="16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</row>
    <row r="313" ht="16.5" customHeight="1" s="16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</row>
    <row r="314" ht="16.5" customHeight="1" s="16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</row>
    <row r="315" ht="16.5" customHeight="1" s="16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</row>
    <row r="316" ht="16.5" customHeight="1" s="16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</row>
    <row r="317" ht="16.5" customHeight="1" s="16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</row>
    <row r="318" ht="16.5" customHeight="1" s="16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</row>
    <row r="319" ht="16.5" customHeight="1" s="16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</row>
    <row r="320" ht="16.5" customHeight="1" s="16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</row>
    <row r="321" ht="16.5" customHeight="1" s="16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</row>
    <row r="322" ht="16.5" customHeight="1" s="16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</row>
    <row r="323" ht="16.5" customHeight="1" s="16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</row>
    <row r="324" ht="16.5" customHeight="1" s="16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</row>
    <row r="325" ht="16.5" customHeight="1" s="16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</row>
    <row r="326" ht="16.5" customHeight="1" s="16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</row>
    <row r="327" ht="16.5" customHeight="1" s="16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</row>
    <row r="328" ht="16.5" customHeight="1" s="16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</row>
    <row r="329" ht="16.5" customHeight="1" s="16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</row>
    <row r="330" ht="16.5" customHeight="1" s="16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</row>
    <row r="331" ht="16.5" customHeight="1" s="16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</row>
    <row r="332" ht="16.5" customHeight="1" s="16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</row>
    <row r="333" ht="16.5" customHeight="1" s="16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</row>
    <row r="334" ht="16.5" customHeight="1" s="16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</row>
    <row r="335" ht="16.5" customHeight="1" s="16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</row>
    <row r="336" ht="16.5" customHeight="1" s="16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</row>
    <row r="337" ht="16.5" customHeight="1" s="16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</row>
    <row r="338" ht="16.5" customHeight="1" s="16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</row>
    <row r="339" ht="16.5" customHeight="1" s="16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</row>
    <row r="340" ht="16.5" customHeight="1" s="16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</row>
    <row r="341" ht="16.5" customHeight="1" s="16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</row>
    <row r="342" ht="16.5" customHeight="1" s="16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</row>
    <row r="343" ht="16.5" customHeight="1" s="16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</row>
    <row r="344" ht="16.5" customHeight="1" s="16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</row>
    <row r="345" ht="16.5" customHeight="1" s="16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</row>
    <row r="346" ht="16.5" customHeight="1" s="16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</row>
    <row r="347" ht="16.5" customHeight="1" s="16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</row>
    <row r="348" ht="16.5" customHeight="1" s="16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</row>
    <row r="349" ht="16.5" customHeight="1" s="16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</row>
    <row r="350" ht="16.5" customHeight="1" s="16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</row>
    <row r="351" ht="16.5" customHeight="1" s="16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</row>
    <row r="352" ht="16.5" customHeight="1" s="16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</row>
    <row r="353" ht="16.5" customHeight="1" s="16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</row>
    <row r="354" ht="16.5" customHeight="1" s="16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</row>
    <row r="355" ht="16.5" customHeight="1" s="16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</row>
    <row r="356" ht="16.5" customHeight="1" s="16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</row>
    <row r="357" ht="16.5" customHeight="1" s="16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</row>
    <row r="358" ht="16.5" customHeight="1" s="16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</row>
    <row r="359" ht="16.5" customHeight="1" s="16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</row>
    <row r="360" ht="16.5" customHeight="1" s="16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</row>
    <row r="361" ht="16.5" customHeight="1" s="16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</row>
    <row r="362" ht="16.5" customHeight="1" s="16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</row>
    <row r="363" ht="16.5" customHeight="1" s="16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</row>
    <row r="364" ht="16.5" customHeight="1" s="1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</row>
    <row r="365" ht="16.5" customHeight="1" s="16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</row>
    <row r="366" ht="16.5" customHeight="1" s="16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</row>
    <row r="367" ht="16.5" customHeight="1" s="16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</row>
    <row r="368" ht="16.5" customHeight="1" s="16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</row>
    <row r="369" ht="16.5" customHeight="1" s="16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</row>
    <row r="370" ht="16.5" customHeight="1" s="16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</row>
    <row r="371" ht="16.5" customHeight="1" s="16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</row>
    <row r="372" ht="16.5" customHeight="1" s="16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</row>
    <row r="373" ht="16.5" customHeight="1" s="16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</row>
    <row r="374" ht="16.5" customHeight="1" s="16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</row>
    <row r="375" ht="16.5" customHeight="1" s="16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</row>
    <row r="376" ht="16.5" customHeight="1" s="16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</row>
    <row r="377" ht="16.5" customHeight="1" s="16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</row>
    <row r="378" ht="16.5" customHeight="1" s="16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</row>
    <row r="379" ht="16.5" customHeight="1" s="16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</row>
    <row r="380" ht="16.5" customHeight="1" s="16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</row>
    <row r="381" ht="16.5" customHeight="1" s="16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</row>
    <row r="382" ht="16.5" customHeight="1" s="16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</row>
    <row r="383" ht="16.5" customHeight="1" s="16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</row>
    <row r="384" ht="16.5" customHeight="1" s="16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</row>
    <row r="385" ht="16.5" customHeight="1" s="16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</row>
    <row r="386" ht="16.5" customHeight="1" s="16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</row>
    <row r="387" ht="16.5" customHeight="1" s="16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</row>
    <row r="388" ht="16.5" customHeight="1" s="16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</row>
    <row r="389" ht="16.5" customHeight="1" s="16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</row>
    <row r="390" ht="16.5" customHeight="1" s="16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</row>
    <row r="391" ht="16.5" customHeight="1" s="16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</row>
    <row r="392" ht="16.5" customHeight="1" s="16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</row>
    <row r="393" ht="16.5" customHeight="1" s="16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</row>
    <row r="394" ht="16.5" customHeight="1" s="16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</row>
    <row r="395" ht="16.5" customHeight="1" s="16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</row>
    <row r="396" ht="16.5" customHeight="1" s="16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</row>
    <row r="397" ht="16.5" customHeight="1" s="16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</row>
    <row r="398" ht="16.5" customHeight="1" s="16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</row>
    <row r="399" ht="16.5" customHeight="1" s="16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</row>
    <row r="400" ht="16.5" customHeight="1" s="16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</row>
    <row r="401" ht="16.5" customHeight="1" s="16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</row>
    <row r="402" ht="16.5" customHeight="1" s="16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</row>
    <row r="403" ht="16.5" customHeight="1" s="16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</row>
    <row r="404" ht="16.5" customHeight="1" s="16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</row>
    <row r="405" ht="16.5" customHeight="1" s="16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</row>
    <row r="406" ht="16.5" customHeight="1" s="16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</row>
    <row r="407" ht="16.5" customHeight="1" s="16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</row>
    <row r="408" ht="16.5" customHeight="1" s="16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</row>
    <row r="409" ht="16.5" customHeight="1" s="16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</row>
    <row r="410" ht="16.5" customHeight="1" s="16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</row>
    <row r="411" ht="16.5" customHeight="1" s="16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</row>
    <row r="412" ht="16.5" customHeight="1" s="16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</row>
    <row r="413" ht="16.5" customHeight="1" s="16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</row>
    <row r="414" ht="16.5" customHeight="1" s="16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</row>
    <row r="415" ht="16.5" customHeight="1" s="16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</row>
    <row r="416" ht="16.5" customHeight="1" s="16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</row>
    <row r="417" ht="16.5" customHeight="1" s="16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</row>
    <row r="418" ht="16.5" customHeight="1" s="16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</row>
    <row r="419" ht="16.5" customHeight="1" s="16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</row>
    <row r="420" ht="16.5" customHeight="1" s="16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</row>
    <row r="421" ht="16.5" customHeight="1" s="16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</row>
    <row r="422" ht="16.5" customHeight="1" s="16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</row>
    <row r="423" ht="16.5" customHeight="1" s="16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</row>
    <row r="424" ht="16.5" customHeight="1" s="16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</row>
    <row r="425" ht="16.5" customHeight="1" s="16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</row>
    <row r="426" ht="16.5" customHeight="1" s="16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</row>
    <row r="427" ht="16.5" customHeight="1" s="16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</row>
    <row r="428" ht="16.5" customHeight="1" s="16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</row>
    <row r="429" ht="16.5" customHeight="1" s="16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</row>
    <row r="430" ht="16.5" customHeight="1" s="16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</row>
    <row r="431" ht="16.5" customHeight="1" s="16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</row>
    <row r="432" ht="16.5" customHeight="1" s="16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</row>
    <row r="433" ht="16.5" customHeight="1" s="16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</row>
    <row r="434" ht="16.5" customHeight="1" s="16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</row>
    <row r="435" ht="16.5" customHeight="1" s="16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</row>
    <row r="436" ht="16.5" customHeight="1" s="16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</row>
    <row r="437" ht="16.5" customHeight="1" s="16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</row>
    <row r="438" ht="16.5" customHeight="1" s="16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</row>
    <row r="439" ht="16.5" customHeight="1" s="16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</row>
    <row r="440" ht="16.5" customHeight="1" s="16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</row>
    <row r="441" ht="16.5" customHeight="1" s="16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</row>
    <row r="442" ht="16.5" customHeight="1" s="16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</row>
    <row r="443" ht="16.5" customHeight="1" s="16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</row>
    <row r="444" ht="16.5" customHeight="1" s="16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</row>
    <row r="445" ht="16.5" customHeight="1" s="16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</row>
    <row r="446" ht="16.5" customHeight="1" s="16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</row>
    <row r="447" ht="16.5" customHeight="1" s="16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</row>
    <row r="448" ht="16.5" customHeight="1" s="16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</row>
    <row r="449" ht="16.5" customHeight="1" s="16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</row>
    <row r="450" ht="16.5" customHeight="1" s="16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</row>
    <row r="451" ht="16.5" customHeight="1" s="16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</row>
    <row r="452" ht="16.5" customHeight="1" s="16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</row>
    <row r="453" ht="16.5" customHeight="1" s="16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</row>
    <row r="454" ht="16.5" customHeight="1" s="16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</row>
    <row r="455" ht="16.5" customHeight="1" s="16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</row>
    <row r="456" ht="16.5" customHeight="1" s="16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</row>
    <row r="457" ht="16.5" customHeight="1" s="16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</row>
    <row r="458" ht="16.5" customHeight="1" s="16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</row>
    <row r="459" ht="16.5" customHeight="1" s="16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</row>
    <row r="460" ht="16.5" customHeight="1" s="16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</row>
    <row r="461" ht="16.5" customHeight="1" s="16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</row>
    <row r="462" ht="16.5" customHeight="1" s="16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</row>
    <row r="463" ht="16.5" customHeight="1" s="16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</row>
    <row r="464" ht="16.5" customHeight="1" s="1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</row>
    <row r="465" ht="16.5" customHeight="1" s="16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</row>
    <row r="466" ht="16.5" customHeight="1" s="16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</row>
    <row r="467" ht="16.5" customHeight="1" s="16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</row>
    <row r="468" ht="16.5" customHeight="1" s="16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</row>
    <row r="469" ht="16.5" customHeight="1" s="16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</row>
    <row r="470" ht="16.5" customHeight="1" s="16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</row>
    <row r="471" ht="16.5" customHeight="1" s="16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</row>
    <row r="472" ht="16.5" customHeight="1" s="16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</row>
    <row r="473" ht="16.5" customHeight="1" s="16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</row>
    <row r="474" ht="16.5" customHeight="1" s="16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</row>
    <row r="475" ht="16.5" customHeight="1" s="16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</row>
    <row r="476" ht="16.5" customHeight="1" s="16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</row>
    <row r="477" ht="16.5" customHeight="1" s="16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</row>
    <row r="478" ht="16.5" customHeight="1" s="16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</row>
    <row r="479" ht="16.5" customHeight="1" s="16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</row>
    <row r="480" ht="16.5" customHeight="1" s="16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</row>
    <row r="481" ht="16.5" customHeight="1" s="16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</row>
    <row r="482" ht="16.5" customHeight="1" s="16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</row>
    <row r="483" ht="16.5" customHeight="1" s="16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</row>
    <row r="484" ht="16.5" customHeight="1" s="16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</row>
    <row r="485" ht="16.5" customHeight="1" s="16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</row>
    <row r="486" ht="16.5" customHeight="1" s="16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</row>
    <row r="487" ht="16.5" customHeight="1" s="16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</row>
    <row r="488" ht="16.5" customHeight="1" s="16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</row>
    <row r="489" ht="16.5" customHeight="1" s="16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</row>
    <row r="490" ht="16.5" customHeight="1" s="16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</row>
    <row r="491" ht="16.5" customHeight="1" s="16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</row>
    <row r="492" ht="16.5" customHeight="1" s="16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</row>
    <row r="493" ht="16.5" customHeight="1" s="16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</row>
    <row r="494" ht="16.5" customHeight="1" s="16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</row>
    <row r="495" ht="16.5" customHeight="1" s="16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</row>
    <row r="496" ht="16.5" customHeight="1" s="16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</row>
    <row r="497" ht="16.5" customHeight="1" s="16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</row>
    <row r="498" ht="16.5" customHeight="1" s="16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</row>
    <row r="499" ht="16.5" customHeight="1" s="16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</row>
    <row r="500" ht="16.5" customHeight="1" s="16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</row>
    <row r="501" ht="16.5" customHeight="1" s="16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</row>
    <row r="502" ht="16.5" customHeight="1" s="16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</row>
    <row r="503" ht="16.5" customHeight="1" s="16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</row>
    <row r="504" ht="16.5" customHeight="1" s="16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</row>
    <row r="505" ht="16.5" customHeight="1" s="16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</row>
    <row r="506" ht="16.5" customHeight="1" s="16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</row>
    <row r="507" ht="16.5" customHeight="1" s="16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</row>
    <row r="508" ht="16.5" customHeight="1" s="16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</row>
    <row r="509" ht="16.5" customHeight="1" s="16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</row>
    <row r="510" ht="16.5" customHeight="1" s="16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</row>
    <row r="511" ht="16.5" customHeight="1" s="16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</row>
    <row r="512" ht="16.5" customHeight="1" s="16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</row>
    <row r="513" ht="16.5" customHeight="1" s="16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</row>
    <row r="514" ht="16.5" customHeight="1" s="16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</row>
    <row r="515" ht="16.5" customHeight="1" s="16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</row>
    <row r="516" ht="16.5" customHeight="1" s="16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</row>
    <row r="517" ht="16.5" customHeight="1" s="16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</row>
    <row r="518" ht="16.5" customHeight="1" s="16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</row>
    <row r="519" ht="16.5" customHeight="1" s="16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</row>
    <row r="520" ht="16.5" customHeight="1" s="16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</row>
    <row r="521" ht="16.5" customHeight="1" s="16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</row>
    <row r="522" ht="16.5" customHeight="1" s="16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</row>
    <row r="523" ht="16.5" customHeight="1" s="16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</row>
    <row r="524" ht="16.5" customHeight="1" s="16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</row>
    <row r="525" ht="16.5" customHeight="1" s="16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</row>
    <row r="526" ht="16.5" customHeight="1" s="16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</row>
    <row r="527" ht="16.5" customHeight="1" s="16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</row>
    <row r="528" ht="16.5" customHeight="1" s="16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</row>
    <row r="529" ht="16.5" customHeight="1" s="16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</row>
    <row r="530" ht="16.5" customHeight="1" s="16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</row>
    <row r="531" ht="16.5" customHeight="1" s="16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</row>
    <row r="532" ht="16.5" customHeight="1" s="16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</row>
    <row r="533" ht="16.5" customHeight="1" s="16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</row>
    <row r="534" ht="16.5" customHeight="1" s="16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</row>
    <row r="535" ht="16.5" customHeight="1" s="16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</row>
    <row r="536" ht="16.5" customHeight="1" s="16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</row>
    <row r="537" ht="16.5" customHeight="1" s="16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</row>
    <row r="538" ht="16.5" customHeight="1" s="16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</row>
    <row r="539" ht="16.5" customHeight="1" s="16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</row>
    <row r="540" ht="16.5" customHeight="1" s="16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</row>
    <row r="541" ht="16.5" customHeight="1" s="16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</row>
    <row r="542" ht="16.5" customHeight="1" s="16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</row>
    <row r="543" ht="16.5" customHeight="1" s="16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</row>
    <row r="544" ht="16.5" customHeight="1" s="16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</row>
    <row r="545" ht="16.5" customHeight="1" s="16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</row>
    <row r="546" ht="16.5" customHeight="1" s="16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</row>
    <row r="547" ht="16.5" customHeight="1" s="16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</row>
    <row r="548" ht="16.5" customHeight="1" s="16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</row>
    <row r="549" ht="16.5" customHeight="1" s="16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</row>
    <row r="550" ht="16.5" customHeight="1" s="16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</row>
    <row r="551" ht="16.5" customHeight="1" s="16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</row>
    <row r="552" ht="16.5" customHeight="1" s="16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</row>
    <row r="553" ht="16.5" customHeight="1" s="16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</row>
    <row r="554" ht="16.5" customHeight="1" s="16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</row>
    <row r="555" ht="16.5" customHeight="1" s="16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</row>
    <row r="556" ht="16.5" customHeight="1" s="16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</row>
    <row r="557" ht="16.5" customHeight="1" s="16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</row>
    <row r="558" ht="16.5" customHeight="1" s="16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</row>
    <row r="559" ht="16.5" customHeight="1" s="16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</row>
    <row r="560" ht="16.5" customHeight="1" s="16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</row>
    <row r="561" ht="16.5" customHeight="1" s="16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</row>
    <row r="562" ht="16.5" customHeight="1" s="16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</row>
    <row r="563" ht="16.5" customHeight="1" s="16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</row>
    <row r="564" ht="16.5" customHeight="1" s="1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</row>
    <row r="565" ht="16.5" customHeight="1" s="16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</row>
    <row r="566" ht="16.5" customHeight="1" s="16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</row>
    <row r="567" ht="16.5" customHeight="1" s="16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</row>
    <row r="568" ht="16.5" customHeight="1" s="16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</row>
    <row r="569" ht="16.5" customHeight="1" s="16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</row>
    <row r="570" ht="16.5" customHeight="1" s="16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</row>
    <row r="571" ht="16.5" customHeight="1" s="16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</row>
    <row r="572" ht="16.5" customHeight="1" s="16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</row>
    <row r="573" ht="16.5" customHeight="1" s="16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</row>
    <row r="574" ht="16.5" customHeight="1" s="16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</row>
    <row r="575" ht="16.5" customHeight="1" s="16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</row>
    <row r="576" ht="16.5" customHeight="1" s="16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</row>
    <row r="577" ht="16.5" customHeight="1" s="16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</row>
    <row r="578" ht="16.5" customHeight="1" s="16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</row>
    <row r="579" ht="16.5" customHeight="1" s="16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</row>
    <row r="580" ht="16.5" customHeight="1" s="16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</row>
    <row r="581" ht="16.5" customHeight="1" s="16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</row>
    <row r="582" ht="16.5" customHeight="1" s="16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</row>
    <row r="583" ht="16.5" customHeight="1" s="16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</row>
    <row r="584" ht="16.5" customHeight="1" s="16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</row>
    <row r="585" ht="16.5" customHeight="1" s="16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</row>
    <row r="586" ht="16.5" customHeight="1" s="16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</row>
    <row r="587" ht="16.5" customHeight="1" s="16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</row>
    <row r="588" ht="16.5" customHeight="1" s="16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</row>
    <row r="589" ht="16.5" customHeight="1" s="16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</row>
    <row r="590" ht="16.5" customHeight="1" s="16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</row>
    <row r="591" ht="16.5" customHeight="1" s="16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</row>
    <row r="592" ht="16.5" customHeight="1" s="16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</row>
    <row r="593" ht="16.5" customHeight="1" s="16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</row>
    <row r="594" ht="16.5" customHeight="1" s="16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</row>
    <row r="595" ht="16.5" customHeight="1" s="16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</row>
    <row r="596" ht="16.5" customHeight="1" s="16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</row>
    <row r="597" ht="16.5" customHeight="1" s="16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</row>
    <row r="598" ht="16.5" customHeight="1" s="16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</row>
    <row r="599" ht="16.5" customHeight="1" s="16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</row>
    <row r="600" ht="16.5" customHeight="1" s="16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</row>
    <row r="601" ht="16.5" customHeight="1" s="16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</row>
    <row r="602" ht="16.5" customHeight="1" s="16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</row>
    <row r="603" ht="16.5" customHeight="1" s="16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</row>
    <row r="604" ht="16.5" customHeight="1" s="16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</row>
    <row r="605" ht="16.5" customHeight="1" s="16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</row>
    <row r="606" ht="16.5" customHeight="1" s="16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</row>
    <row r="607" ht="16.5" customHeight="1" s="16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</row>
    <row r="608" ht="16.5" customHeight="1" s="16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</row>
    <row r="609" ht="16.5" customHeight="1" s="16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</row>
    <row r="610" ht="16.5" customHeight="1" s="16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</row>
    <row r="611" ht="16.5" customHeight="1" s="16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</row>
    <row r="612" ht="16.5" customHeight="1" s="16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</row>
    <row r="613" ht="16.5" customHeight="1" s="16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</row>
    <row r="614" ht="16.5" customHeight="1" s="16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</row>
    <row r="615" ht="16.5" customHeight="1" s="16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</row>
    <row r="616" ht="16.5" customHeight="1" s="16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</row>
    <row r="617" ht="16.5" customHeight="1" s="16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</row>
    <row r="618" ht="16.5" customHeight="1" s="16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</row>
    <row r="619" ht="16.5" customHeight="1" s="16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</row>
    <row r="620" ht="16.5" customHeight="1" s="16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</row>
    <row r="621" ht="16.5" customHeight="1" s="16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</row>
    <row r="622" ht="16.5" customHeight="1" s="16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</row>
    <row r="623" ht="16.5" customHeight="1" s="16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</row>
    <row r="624" ht="16.5" customHeight="1" s="16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</row>
    <row r="625" ht="16.5" customHeight="1" s="16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</row>
    <row r="626" ht="16.5" customHeight="1" s="16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</row>
    <row r="627" ht="16.5" customHeight="1" s="16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</row>
    <row r="628" ht="16.5" customHeight="1" s="16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</row>
    <row r="629" ht="16.5" customHeight="1" s="16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</row>
    <row r="630" ht="16.5" customHeight="1" s="16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</row>
    <row r="631" ht="16.5" customHeight="1" s="16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</row>
    <row r="632" ht="16.5" customHeight="1" s="16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</row>
    <row r="633" ht="16.5" customHeight="1" s="16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</row>
    <row r="634" ht="16.5" customHeight="1" s="16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</row>
    <row r="635" ht="16.5" customHeight="1" s="16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</row>
    <row r="636" ht="16.5" customHeight="1" s="16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</row>
    <row r="637" ht="16.5" customHeight="1" s="16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</row>
    <row r="638" ht="16.5" customHeight="1" s="16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</row>
    <row r="639" ht="16.5" customHeight="1" s="16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</row>
    <row r="640" ht="16.5" customHeight="1" s="16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</row>
    <row r="641" ht="16.5" customHeight="1" s="16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</row>
    <row r="642" ht="16.5" customHeight="1" s="16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</row>
    <row r="643" ht="16.5" customHeight="1" s="16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</row>
    <row r="644" ht="16.5" customHeight="1" s="16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</row>
    <row r="645" ht="16.5" customHeight="1" s="16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</row>
    <row r="646" ht="16.5" customHeight="1" s="16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</row>
    <row r="647" ht="16.5" customHeight="1" s="16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</row>
    <row r="648" ht="16.5" customHeight="1" s="16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</row>
    <row r="649" ht="16.5" customHeight="1" s="16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</row>
    <row r="650" ht="16.5" customHeight="1" s="16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</row>
    <row r="651" ht="16.5" customHeight="1" s="16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</row>
    <row r="652" ht="16.5" customHeight="1" s="16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</row>
    <row r="653" ht="16.5" customHeight="1" s="16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</row>
    <row r="654" ht="16.5" customHeight="1" s="16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</row>
    <row r="655" ht="16.5" customHeight="1" s="16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</row>
    <row r="656" ht="16.5" customHeight="1" s="16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</row>
    <row r="657" ht="16.5" customHeight="1" s="16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</row>
    <row r="658" ht="16.5" customHeight="1" s="16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</row>
    <row r="659" ht="16.5" customHeight="1" s="16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</row>
    <row r="660" ht="16.5" customHeight="1" s="16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</row>
    <row r="661" ht="16.5" customHeight="1" s="16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</row>
    <row r="662" ht="16.5" customHeight="1" s="16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</row>
    <row r="663" ht="16.5" customHeight="1" s="16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</row>
    <row r="664" ht="16.5" customHeight="1" s="1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</row>
    <row r="665" ht="16.5" customHeight="1" s="16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</row>
    <row r="666" ht="16.5" customHeight="1" s="16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</row>
    <row r="667" ht="16.5" customHeight="1" s="16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</row>
    <row r="668" ht="16.5" customHeight="1" s="16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</row>
    <row r="669" ht="16.5" customHeight="1" s="16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</row>
    <row r="670" ht="16.5" customHeight="1" s="16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</row>
    <row r="671" ht="16.5" customHeight="1" s="16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</row>
    <row r="672" ht="16.5" customHeight="1" s="16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</row>
    <row r="673" ht="16.5" customHeight="1" s="16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</row>
    <row r="674" ht="16.5" customHeight="1" s="16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</row>
    <row r="675" ht="16.5" customHeight="1" s="16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</row>
    <row r="676" ht="16.5" customHeight="1" s="16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</row>
    <row r="677" ht="16.5" customHeight="1" s="16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</row>
    <row r="678" ht="16.5" customHeight="1" s="16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</row>
    <row r="679" ht="16.5" customHeight="1" s="16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</row>
    <row r="680" ht="16.5" customHeight="1" s="16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</row>
    <row r="681" ht="16.5" customHeight="1" s="16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</row>
    <row r="682" ht="16.5" customHeight="1" s="16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</row>
    <row r="683" ht="16.5" customHeight="1" s="16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</row>
    <row r="684" ht="16.5" customHeight="1" s="16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</row>
    <row r="685" ht="16.5" customHeight="1" s="16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</row>
    <row r="686" ht="16.5" customHeight="1" s="16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</row>
    <row r="687" ht="16.5" customHeight="1" s="16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</row>
    <row r="688" ht="16.5" customHeight="1" s="16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</row>
    <row r="689" ht="16.5" customHeight="1" s="16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</row>
    <row r="690" ht="16.5" customHeight="1" s="16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</row>
    <row r="691" ht="16.5" customHeight="1" s="16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</row>
    <row r="692" ht="16.5" customHeight="1" s="16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</row>
    <row r="693" ht="16.5" customHeight="1" s="16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</row>
    <row r="694" ht="16.5" customHeight="1" s="16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</row>
    <row r="695" ht="16.5" customHeight="1" s="16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</row>
    <row r="696" ht="16.5" customHeight="1" s="16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</row>
    <row r="697" ht="16.5" customHeight="1" s="16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</row>
    <row r="698" ht="16.5" customHeight="1" s="16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</row>
    <row r="699" ht="16.5" customHeight="1" s="16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</row>
    <row r="700" ht="16.5" customHeight="1" s="16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</row>
    <row r="701" ht="16.5" customHeight="1" s="16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</row>
    <row r="702" ht="16.5" customHeight="1" s="16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</row>
    <row r="703" ht="16.5" customHeight="1" s="16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</row>
    <row r="704" ht="16.5" customHeight="1" s="16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</row>
    <row r="705" ht="16.5" customHeight="1" s="16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</row>
    <row r="706" ht="16.5" customHeight="1" s="16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</row>
    <row r="707" ht="16.5" customHeight="1" s="16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</row>
    <row r="708" ht="16.5" customHeight="1" s="16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</row>
    <row r="709" ht="16.5" customHeight="1" s="16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</row>
    <row r="710" ht="16.5" customHeight="1" s="16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</row>
    <row r="711" ht="16.5" customHeight="1" s="16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</row>
    <row r="712" ht="16.5" customHeight="1" s="16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</row>
    <row r="713" ht="16.5" customHeight="1" s="16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</row>
    <row r="714" ht="16.5" customHeight="1" s="16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</row>
    <row r="715" ht="16.5" customHeight="1" s="16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</row>
    <row r="716" ht="16.5" customHeight="1" s="16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</row>
    <row r="717" ht="16.5" customHeight="1" s="16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</row>
    <row r="718" ht="16.5" customHeight="1" s="16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</row>
    <row r="719" ht="16.5" customHeight="1" s="16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</row>
    <row r="720" ht="16.5" customHeight="1" s="16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</row>
    <row r="721" ht="16.5" customHeight="1" s="16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</row>
    <row r="722" ht="16.5" customHeight="1" s="16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</row>
    <row r="723" ht="16.5" customHeight="1" s="16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</row>
    <row r="724" ht="16.5" customHeight="1" s="16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</row>
    <row r="725" ht="16.5" customHeight="1" s="16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</row>
    <row r="726" ht="16.5" customHeight="1" s="16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</row>
    <row r="727" ht="16.5" customHeight="1" s="16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</row>
    <row r="728" ht="16.5" customHeight="1" s="16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</row>
    <row r="729" ht="16.5" customHeight="1" s="16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</row>
    <row r="730" ht="16.5" customHeight="1" s="16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</row>
    <row r="731" ht="16.5" customHeight="1" s="16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</row>
    <row r="732" ht="16.5" customHeight="1" s="16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</row>
    <row r="733" ht="16.5" customHeight="1" s="16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</row>
    <row r="734" ht="16.5" customHeight="1" s="16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</row>
    <row r="735" ht="16.5" customHeight="1" s="16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</row>
    <row r="736" ht="16.5" customHeight="1" s="16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</row>
    <row r="737" ht="16.5" customHeight="1" s="16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</row>
    <row r="738" ht="16.5" customHeight="1" s="16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</row>
    <row r="739" ht="16.5" customHeight="1" s="16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</row>
    <row r="740" ht="16.5" customHeight="1" s="16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</row>
    <row r="741" ht="16.5" customHeight="1" s="16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</row>
    <row r="742" ht="16.5" customHeight="1" s="16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</row>
    <row r="743" ht="16.5" customHeight="1" s="16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</row>
    <row r="744" ht="16.5" customHeight="1" s="16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</row>
    <row r="745" ht="16.5" customHeight="1" s="16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</row>
    <row r="746" ht="16.5" customHeight="1" s="16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</row>
    <row r="747" ht="16.5" customHeight="1" s="16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</row>
    <row r="748" ht="16.5" customHeight="1" s="16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</row>
    <row r="749" ht="16.5" customHeight="1" s="16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</row>
    <row r="750" ht="16.5" customHeight="1" s="16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</row>
    <row r="751" ht="16.5" customHeight="1" s="16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</row>
    <row r="752" ht="16.5" customHeight="1" s="16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</row>
    <row r="753" ht="16.5" customHeight="1" s="16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</row>
    <row r="754" ht="16.5" customHeight="1" s="16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</row>
    <row r="755" ht="16.5" customHeight="1" s="16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</row>
    <row r="756" ht="16.5" customHeight="1" s="16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</row>
    <row r="757" ht="16.5" customHeight="1" s="16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</row>
    <row r="758" ht="16.5" customHeight="1" s="16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</row>
    <row r="759" ht="16.5" customHeight="1" s="16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</row>
    <row r="760" ht="16.5" customHeight="1" s="16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</row>
    <row r="761" ht="16.5" customHeight="1" s="16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</row>
    <row r="762" ht="16.5" customHeight="1" s="16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</row>
    <row r="763" ht="16.5" customHeight="1" s="16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</row>
    <row r="764" ht="16.5" customHeight="1" s="1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</row>
    <row r="765" ht="16.5" customHeight="1" s="16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</row>
    <row r="766" ht="16.5" customHeight="1" s="16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</row>
    <row r="767" ht="16.5" customHeight="1" s="16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</row>
    <row r="768" ht="16.5" customHeight="1" s="16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</row>
    <row r="769" ht="16.5" customHeight="1" s="16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</row>
    <row r="770" ht="16.5" customHeight="1" s="16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</row>
    <row r="771" ht="16.5" customHeight="1" s="16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</row>
    <row r="772" ht="16.5" customHeight="1" s="16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</row>
    <row r="773" ht="16.5" customHeight="1" s="16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</row>
    <row r="774" ht="16.5" customHeight="1" s="16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</row>
    <row r="775" ht="16.5" customHeight="1" s="16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</row>
    <row r="776" ht="16.5" customHeight="1" s="16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</row>
    <row r="777" ht="16.5" customHeight="1" s="16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</row>
    <row r="778" ht="16.5" customHeight="1" s="16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</row>
    <row r="779" ht="16.5" customHeight="1" s="16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</row>
    <row r="780" ht="16.5" customHeight="1" s="16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</row>
    <row r="781" ht="16.5" customHeight="1" s="16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</row>
    <row r="782" ht="16.5" customHeight="1" s="16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</row>
    <row r="783" ht="16.5" customHeight="1" s="16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</row>
    <row r="784" ht="16.5" customHeight="1" s="16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</row>
    <row r="785" ht="16.5" customHeight="1" s="16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</row>
    <row r="786" ht="16.5" customHeight="1" s="16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</row>
    <row r="787" ht="16.5" customHeight="1" s="16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</row>
    <row r="788" ht="16.5" customHeight="1" s="16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</row>
    <row r="789" ht="16.5" customHeight="1" s="16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</row>
    <row r="790" ht="16.5" customHeight="1" s="16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</row>
    <row r="791" ht="16.5" customHeight="1" s="16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</row>
    <row r="792" ht="16.5" customHeight="1" s="16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</row>
    <row r="793" ht="16.5" customHeight="1" s="16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</row>
    <row r="794" ht="16.5" customHeight="1" s="16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</row>
    <row r="795" ht="16.5" customHeight="1" s="16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</row>
    <row r="796" ht="16.5" customHeight="1" s="16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</row>
    <row r="797" ht="16.5" customHeight="1" s="16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</row>
    <row r="798" ht="16.5" customHeight="1" s="16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</row>
    <row r="799" ht="16.5" customHeight="1" s="16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</row>
    <row r="800" ht="16.5" customHeight="1" s="16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</row>
    <row r="801" ht="16.5" customHeight="1" s="16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</row>
    <row r="802" ht="16.5" customHeight="1" s="16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</row>
    <row r="803" ht="16.5" customHeight="1" s="16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</row>
    <row r="804" ht="16.5" customHeight="1" s="16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</row>
    <row r="805" ht="16.5" customHeight="1" s="16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</row>
    <row r="806" ht="16.5" customHeight="1" s="16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</row>
    <row r="807" ht="16.5" customHeight="1" s="16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</row>
    <row r="808" ht="16.5" customHeight="1" s="16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</row>
    <row r="809" ht="16.5" customHeight="1" s="16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</row>
    <row r="810" ht="16.5" customHeight="1" s="16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</row>
    <row r="811" ht="16.5" customHeight="1" s="16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</row>
    <row r="812" ht="16.5" customHeight="1" s="16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</row>
    <row r="813" ht="16.5" customHeight="1" s="16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</row>
    <row r="814" ht="16.5" customHeight="1" s="16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</row>
    <row r="815" ht="16.5" customHeight="1" s="16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</row>
    <row r="816" ht="16.5" customHeight="1" s="16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</row>
    <row r="817" ht="16.5" customHeight="1" s="16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</row>
    <row r="818" ht="16.5" customHeight="1" s="16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</row>
    <row r="819" ht="16.5" customHeight="1" s="16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</row>
    <row r="820" ht="16.5" customHeight="1" s="16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</row>
    <row r="821" ht="16.5" customHeight="1" s="16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</row>
    <row r="822" ht="16.5" customHeight="1" s="16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</row>
    <row r="823" ht="16.5" customHeight="1" s="16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</row>
    <row r="824" ht="16.5" customHeight="1" s="16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</row>
    <row r="825" ht="16.5" customHeight="1" s="16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</row>
    <row r="826" ht="16.5" customHeight="1" s="16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</row>
    <row r="827" ht="16.5" customHeight="1" s="16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</row>
    <row r="828" ht="16.5" customHeight="1" s="16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</row>
    <row r="829" ht="16.5" customHeight="1" s="16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</row>
    <row r="830" ht="16.5" customHeight="1" s="16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</row>
    <row r="831" ht="16.5" customHeight="1" s="16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</row>
    <row r="832" ht="16.5" customHeight="1" s="16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</row>
    <row r="833" ht="16.5" customHeight="1" s="16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</row>
    <row r="834" ht="16.5" customHeight="1" s="16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</row>
    <row r="835" ht="16.5" customHeight="1" s="16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</row>
    <row r="836" ht="16.5" customHeight="1" s="16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</row>
    <row r="837" ht="16.5" customHeight="1" s="16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</row>
    <row r="838" ht="16.5" customHeight="1" s="16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</row>
    <row r="839" ht="16.5" customHeight="1" s="16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</row>
    <row r="840" ht="16.5" customHeight="1" s="16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</row>
    <row r="841" ht="16.5" customHeight="1" s="16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</row>
    <row r="842" ht="16.5" customHeight="1" s="16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</row>
    <row r="843" ht="16.5" customHeight="1" s="16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</row>
    <row r="844" ht="16.5" customHeight="1" s="16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</row>
    <row r="845" ht="16.5" customHeight="1" s="16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</row>
    <row r="846" ht="16.5" customHeight="1" s="16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</row>
    <row r="847" ht="16.5" customHeight="1" s="16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</row>
    <row r="848" ht="16.5" customHeight="1" s="16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</row>
    <row r="849" ht="16.5" customHeight="1" s="16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</row>
    <row r="850" ht="16.5" customHeight="1" s="16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</row>
    <row r="851" ht="16.5" customHeight="1" s="16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</row>
    <row r="852" ht="16.5" customHeight="1" s="16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</row>
    <row r="853" ht="16.5" customHeight="1" s="16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</row>
    <row r="854" ht="16.5" customHeight="1" s="16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</row>
    <row r="855" ht="16.5" customHeight="1" s="16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</row>
    <row r="856" ht="16.5" customHeight="1" s="16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</row>
    <row r="857" ht="16.5" customHeight="1" s="16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</row>
    <row r="858" ht="16.5" customHeight="1" s="16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</row>
    <row r="859" ht="16.5" customHeight="1" s="16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</row>
    <row r="860" ht="16.5" customHeight="1" s="16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</row>
    <row r="861" ht="16.5" customHeight="1" s="16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</row>
    <row r="862" ht="16.5" customHeight="1" s="16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</row>
    <row r="863" ht="16.5" customHeight="1" s="16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</row>
    <row r="864" ht="16.5" customHeight="1" s="1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</row>
    <row r="865" ht="16.5" customHeight="1" s="16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</row>
    <row r="866" ht="16.5" customHeight="1" s="16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</row>
    <row r="867" ht="16.5" customHeight="1" s="16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</row>
    <row r="868" ht="16.5" customHeight="1" s="16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</row>
    <row r="869" ht="16.5" customHeight="1" s="16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</row>
    <row r="870" ht="16.5" customHeight="1" s="16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</row>
    <row r="871" ht="16.5" customHeight="1" s="16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</row>
    <row r="872" ht="16.5" customHeight="1" s="16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</row>
    <row r="873" ht="16.5" customHeight="1" s="16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</row>
    <row r="874" ht="16.5" customHeight="1" s="16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</row>
    <row r="875" ht="16.5" customHeight="1" s="16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</row>
    <row r="876" ht="16.5" customHeight="1" s="16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</row>
    <row r="877" ht="16.5" customHeight="1" s="16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</row>
    <row r="878" ht="16.5" customHeight="1" s="16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</row>
    <row r="879" ht="16.5" customHeight="1" s="16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</row>
    <row r="880" ht="16.5" customHeight="1" s="16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</row>
    <row r="881" ht="16.5" customHeight="1" s="16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</row>
    <row r="882" ht="16.5" customHeight="1" s="16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</row>
    <row r="883" ht="16.5" customHeight="1" s="16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</row>
    <row r="884" ht="16.5" customHeight="1" s="16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</row>
    <row r="885" ht="16.5" customHeight="1" s="16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</row>
    <row r="886" ht="16.5" customHeight="1" s="16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</row>
    <row r="887" ht="16.5" customHeight="1" s="16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</row>
    <row r="888" ht="16.5" customHeight="1" s="16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</row>
    <row r="889" ht="16.5" customHeight="1" s="16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</row>
    <row r="890" ht="16.5" customHeight="1" s="16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</row>
    <row r="891" ht="16.5" customHeight="1" s="16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</row>
    <row r="892" ht="16.5" customHeight="1" s="16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</row>
    <row r="893" ht="16.5" customHeight="1" s="16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</row>
    <row r="894" ht="16.5" customHeight="1" s="16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</row>
    <row r="895" ht="16.5" customHeight="1" s="16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</row>
    <row r="896" ht="16.5" customHeight="1" s="16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</row>
    <row r="897" ht="16.5" customHeight="1" s="16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</row>
    <row r="898" ht="16.5" customHeight="1" s="16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</row>
    <row r="899" ht="16.5" customHeight="1" s="16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</row>
    <row r="900" ht="16.5" customHeight="1" s="16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</row>
    <row r="901" ht="16.5" customHeight="1" s="16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</row>
    <row r="902" ht="16.5" customHeight="1" s="16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</row>
    <row r="903" ht="16.5" customHeight="1" s="16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</row>
    <row r="904" ht="16.5" customHeight="1" s="16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</row>
    <row r="905" ht="16.5" customHeight="1" s="16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</row>
    <row r="906" ht="16.5" customHeight="1" s="16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</row>
    <row r="907" ht="16.5" customHeight="1" s="16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</row>
    <row r="908" ht="16.5" customHeight="1" s="16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</row>
    <row r="909" ht="16.5" customHeight="1" s="16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</row>
    <row r="910" ht="16.5" customHeight="1" s="16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</row>
    <row r="911" ht="16.5" customHeight="1" s="16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</row>
    <row r="912" ht="16.5" customHeight="1" s="16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</row>
    <row r="913" ht="16.5" customHeight="1" s="16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</row>
    <row r="914" ht="16.5" customHeight="1" s="16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</row>
    <row r="915" ht="16.5" customHeight="1" s="16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</row>
    <row r="916" ht="16.5" customHeight="1" s="16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</row>
    <row r="917" ht="16.5" customHeight="1" s="16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</row>
    <row r="918" ht="16.5" customHeight="1" s="16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</row>
    <row r="919" ht="16.5" customHeight="1" s="16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</row>
    <row r="920" ht="16.5" customHeight="1" s="16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</row>
    <row r="921" ht="16.5" customHeight="1" s="16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</row>
    <row r="922" ht="16.5" customHeight="1" s="16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</row>
    <row r="923" ht="16.5" customHeight="1" s="16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</row>
    <row r="924" ht="16.5" customHeight="1" s="16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</row>
    <row r="925" ht="16.5" customHeight="1" s="16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</row>
    <row r="926" ht="16.5" customHeight="1" s="16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</row>
    <row r="927" ht="16.5" customHeight="1" s="16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</row>
    <row r="928" ht="16.5" customHeight="1" s="16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</row>
    <row r="929" ht="16.5" customHeight="1" s="16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</row>
    <row r="930" ht="16.5" customHeight="1" s="16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</row>
    <row r="931" ht="16.5" customHeight="1" s="16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</row>
    <row r="932" ht="16.5" customHeight="1" s="16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</row>
    <row r="933" ht="16.5" customHeight="1" s="16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</row>
    <row r="934" ht="16.5" customHeight="1" s="16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</row>
    <row r="935" ht="16.5" customHeight="1" s="16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</row>
    <row r="936" ht="16.5" customHeight="1" s="16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</row>
    <row r="937" ht="16.5" customHeight="1" s="16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</row>
    <row r="938" ht="16.5" customHeight="1" s="16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</row>
    <row r="939" ht="16.5" customHeight="1" s="16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</row>
    <row r="940" ht="16.5" customHeight="1" s="16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</row>
    <row r="941" ht="16.5" customHeight="1" s="16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</row>
    <row r="942" ht="16.5" customHeight="1" s="16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</row>
    <row r="943" ht="16.5" customHeight="1" s="16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</row>
    <row r="944" ht="16.5" customHeight="1" s="16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</row>
    <row r="945" ht="16.5" customHeight="1" s="16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</row>
    <row r="946" ht="16.5" customHeight="1" s="16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</row>
    <row r="947" ht="16.5" customHeight="1" s="16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</row>
    <row r="948" ht="16.5" customHeight="1" s="16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</row>
    <row r="949" ht="16.5" customHeight="1" s="16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</row>
    <row r="950" ht="16.5" customHeight="1" s="16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</row>
    <row r="951" ht="16.5" customHeight="1" s="16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</row>
    <row r="952" ht="16.5" customHeight="1" s="16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</row>
    <row r="953" ht="16.5" customHeight="1" s="16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</row>
    <row r="954" ht="16.5" customHeight="1" s="16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</row>
    <row r="955" ht="16.5" customHeight="1" s="16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</row>
    <row r="956" ht="16.5" customHeight="1" s="16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</row>
    <row r="957" ht="16.5" customHeight="1" s="16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</row>
    <row r="958" ht="16.5" customHeight="1" s="16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</row>
    <row r="959" ht="16.5" customHeight="1" s="16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</row>
    <row r="960" ht="16.5" customHeight="1" s="16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</row>
    <row r="961" ht="16.5" customHeight="1" s="16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</row>
    <row r="962" ht="16.5" customHeight="1" s="16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</row>
    <row r="963" ht="16.5" customHeight="1" s="16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</row>
    <row r="964" ht="16.5" customHeight="1" s="1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</row>
    <row r="965" ht="16.5" customHeight="1" s="16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</row>
    <row r="966" ht="16.5" customHeight="1" s="16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</row>
    <row r="967" ht="16.5" customHeight="1" s="16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</row>
    <row r="968" ht="16.5" customHeight="1" s="16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</row>
    <row r="969" ht="16.5" customHeight="1" s="16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</row>
    <row r="970" ht="16.5" customHeight="1" s="16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</row>
    <row r="971" ht="16.5" customHeight="1" s="16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</row>
    <row r="972" ht="16.5" customHeight="1" s="16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</row>
    <row r="973" ht="16.5" customHeight="1" s="16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</row>
    <row r="974" ht="16.5" customHeight="1" s="16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</row>
    <row r="975" ht="16.5" customHeight="1" s="16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</row>
    <row r="976" ht="16.5" customHeight="1" s="16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</row>
    <row r="977" ht="16.5" customHeight="1" s="16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</row>
    <row r="978" ht="16.5" customHeight="1" s="16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</row>
    <row r="979" ht="16.5" customHeight="1" s="16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</row>
    <row r="980" ht="16.5" customHeight="1" s="16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</row>
    <row r="981" ht="16.5" customHeight="1" s="16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</row>
    <row r="982" ht="16.5" customHeight="1" s="16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</row>
    <row r="983" ht="16.5" customHeight="1" s="16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</row>
    <row r="984" ht="16.5" customHeight="1" s="16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</row>
    <row r="985" ht="16.5" customHeight="1" s="16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</row>
    <row r="986" ht="16.5" customHeight="1" s="16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</row>
    <row r="987" ht="16.5" customHeight="1" s="16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</row>
    <row r="988" ht="16.5" customHeight="1" s="16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</row>
    <row r="989" ht="16.5" customHeight="1" s="16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</row>
    <row r="990" ht="16.5" customHeight="1" s="16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</row>
    <row r="991" ht="16.5" customHeight="1" s="16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</row>
    <row r="992" ht="16.5" customHeight="1" s="16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</row>
    <row r="993" ht="16.5" customHeight="1" s="16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</row>
    <row r="994" ht="16.5" customHeight="1" s="16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</row>
    <row r="995" ht="16.5" customHeight="1" s="16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</row>
    <row r="996" ht="16.5" customHeight="1" s="16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</row>
    <row r="997" ht="16.5" customHeight="1" s="16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</row>
    <row r="998" ht="16.5" customHeight="1" s="16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</row>
    <row r="999" ht="16.5" customHeight="1" s="16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</row>
    <row r="1000" ht="16.5" customHeight="1" s="16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</row>
  </sheetData>
  <mergeCells count="2">
    <mergeCell ref="E4:U4"/>
    <mergeCell ref="E23:U23"/>
  </mergeCells>
  <conditionalFormatting sqref="E39:V39">
    <cfRule type="cellIs" priority="1" operator="lessThan" dxfId="1">
      <formula>0</formula>
    </cfRule>
    <cfRule type="cellIs" priority="2" operator="greaterThan" dxfId="1">
      <formula>0</formula>
    </cfRule>
  </conditionalFormatting>
  <pageMargins left="0.5" right="0.5" top="0.5" bottom="0.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RizzoJ</dc:creator>
  <dcterms:created xsi:type="dcterms:W3CDTF">2009-09-16T15:34:45Z</dcterms:created>
  <dcterms:modified xsi:type="dcterms:W3CDTF">2026-09-01T05:28:06Z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XSensitivityLevel" fmtid="{D5CDD505-2E9C-101B-9397-08002B2CF9AE}" pid="2">
    <vt:lpwstr>4UC-11</vt:lpwstr>
  </property>
  <property name="xNTACLog" fmtid="{D5CDD505-2E9C-101B-9397-08002B2CF9AE}" pid="3">
    <vt:lpwstr>4UC-11201411040837Sjjb19;4UC-11201411040836Sjjb19</vt:lpwstr>
  </property>
  <property name="xNTACLog1" fmtid="{D5CDD505-2E9C-101B-9397-08002B2CF9AE}" pid="4">
    <vt:lpwstr>4UC-11201411040836Sjjb19;4UC-11201411040837Sjjb19</vt:lpwstr>
  </property>
  <property name="SV_QUERY_LIST_4F35BF76-6C0D-4D9B-82B2-816C12CF3733" fmtid="{D5CDD505-2E9C-101B-9397-08002B2CF9AE}" pid="5">
    <vt:lpwstr>empty_477D106A-C0D6-4607-AEBD-E2C9D60EA279</vt:lpwstr>
  </property>
  <property name="MSIP_Label_defa4170-0d19-0005-0004-bc88714345d2_Enabled" fmtid="{D5CDD505-2E9C-101B-9397-08002B2CF9AE}" pid="6">
    <vt:lpwstr>true</vt:lpwstr>
  </property>
  <property name="MSIP_Label_defa4170-0d19-0005-0004-bc88714345d2_SetDate" fmtid="{D5CDD505-2E9C-101B-9397-08002B2CF9AE}" pid="7">
    <vt:lpwstr>2025-09-02T02:16:31Z</vt:lpwstr>
  </property>
  <property name="MSIP_Label_defa4170-0d19-0005-0004-bc88714345d2_Method" fmtid="{D5CDD505-2E9C-101B-9397-08002B2CF9AE}" pid="8">
    <vt:lpwstr>Standard</vt:lpwstr>
  </property>
  <property name="MSIP_Label_defa4170-0d19-0005-0004-bc88714345d2_Name" fmtid="{D5CDD505-2E9C-101B-9397-08002B2CF9AE}" pid="9">
    <vt:lpwstr>defa4170-0d19-0005-0004-bc88714345d2</vt:lpwstr>
  </property>
  <property name="MSIP_Label_defa4170-0d19-0005-0004-bc88714345d2_SiteId" fmtid="{D5CDD505-2E9C-101B-9397-08002B2CF9AE}" pid="10">
    <vt:lpwstr>7d86bb35-36a1-4fe5-9be7-3ba558a7a700</vt:lpwstr>
  </property>
  <property name="MSIP_Label_defa4170-0d19-0005-0004-bc88714345d2_ActionId" fmtid="{D5CDD505-2E9C-101B-9397-08002B2CF9AE}" pid="11">
    <vt:lpwstr>26a56a71-fbe8-4910-ada9-ea1d3da4f8cf</vt:lpwstr>
  </property>
  <property name="MSIP_Label_defa4170-0d19-0005-0004-bc88714345d2_ContentBits" fmtid="{D5CDD505-2E9C-101B-9397-08002B2CF9AE}" pid="12">
    <vt:lpwstr>0</vt:lpwstr>
  </property>
  <property name="MSIP_Label_defa4170-0d19-0005-0004-bc88714345d2_Tag" fmtid="{D5CDD505-2E9C-101B-9397-08002B2CF9AE}" pid="13">
    <vt:lpwstr>10, 3, 0, 1</vt:lpwstr>
  </property>
</Properties>
</file>